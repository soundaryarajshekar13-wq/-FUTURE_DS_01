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 Sales_Data" sheetId="1" r:id="rId1"/>
    <sheet name=" Sales_Dashboard" sheetId="2" r:id="rId2"/>
    <sheet name=" Student_Retention_Data" sheetId="3" r:id="rId3"/>
    <sheet name=" Retention_Dashboard" sheetId="4" r:id="rId4"/>
    <sheet name=" Marketing_Funnel_Data" sheetId="5" r:id="rId5"/>
    <sheet name="Sheet1" sheetId="13" r:id="rId6"/>
    <sheet name=" Funnel_Dashboard" sheetId="6" r:id="rId7"/>
  </sheets>
  <externalReferences>
    <externalReference r:id="rId8"/>
  </externalReferences>
  <definedNames>
    <definedName name="_xlcn.WorksheetConnection_Sales_DataB1J7311" hidden="1">' Sales_Data'!$B$1:$J$731</definedName>
  </definedNames>
  <calcPr calcId="162913"/>
  <pivotCaches>
    <pivotCache cacheId="2" r:id="rId9"/>
    <pivotCache cacheId="15" r:id="rId10"/>
    <pivotCache cacheId="21" r:id="rId11"/>
    <pivotCache cacheId="24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 Sales_Data!$B$1:$J$731"/>
        </x15:modelTables>
      </x15:dataModel>
    </ext>
  </extLst>
</workbook>
</file>

<file path=xl/calcChain.xml><?xml version="1.0" encoding="utf-8"?>
<calcChain xmlns="http://schemas.openxmlformats.org/spreadsheetml/2006/main">
  <c r="J3" i="5" l="1"/>
  <c r="J4" i="5"/>
  <c r="J5" i="5"/>
  <c r="J2" i="5"/>
  <c r="I3" i="5"/>
  <c r="I4" i="5"/>
  <c r="I5" i="5"/>
  <c r="I2" i="5"/>
  <c r="H3" i="5"/>
  <c r="H4" i="5"/>
  <c r="H5" i="5"/>
  <c r="H2" i="5"/>
  <c r="H3" i="4"/>
  <c r="L3" i="4" l="1"/>
  <c r="E3" i="4"/>
  <c r="B3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3" i="3"/>
  <c r="H4" i="3"/>
  <c r="H2" i="3"/>
  <c r="F13" i="3"/>
  <c r="F15" i="3"/>
  <c r="F17" i="3"/>
  <c r="F20" i="3"/>
  <c r="F22" i="3"/>
  <c r="F25" i="3"/>
  <c r="F27" i="3"/>
  <c r="F30" i="3"/>
  <c r="F32" i="3"/>
  <c r="F35" i="3"/>
  <c r="F37" i="3"/>
  <c r="F40" i="3"/>
  <c r="F42" i="3"/>
  <c r="F45" i="3"/>
  <c r="F47" i="3"/>
  <c r="F50" i="3"/>
  <c r="F52" i="3"/>
  <c r="F7" i="3" l="1"/>
  <c r="F10" i="3"/>
  <c r="F12" i="3"/>
  <c r="F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2" i="3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8" i="2"/>
  <c r="F8" i="2"/>
  <c r="C8" i="2"/>
  <c r="J7" i="1"/>
  <c r="J8" i="1"/>
  <c r="J9" i="1"/>
  <c r="J10" i="1"/>
  <c r="J11" i="1"/>
  <c r="J12" i="1"/>
  <c r="J13" i="1"/>
  <c r="J3" i="1"/>
  <c r="J4" i="1"/>
  <c r="J5" i="1"/>
  <c r="J6" i="1"/>
  <c r="J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 Sales_Data!$B$1:$J$73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DataB1J7311"/>
        </x15:connection>
      </ext>
    </extLst>
  </connection>
</connections>
</file>

<file path=xl/sharedStrings.xml><?xml version="1.0" encoding="utf-8"?>
<sst xmlns="http://schemas.openxmlformats.org/spreadsheetml/2006/main" count="1143" uniqueCount="152">
  <si>
    <t>Date</t>
  </si>
  <si>
    <t>Center</t>
  </si>
  <si>
    <t>Course</t>
  </si>
  <si>
    <t>Category</t>
  </si>
  <si>
    <t>Region</t>
  </si>
  <si>
    <t>Quantity</t>
  </si>
  <si>
    <t>Fee</t>
  </si>
  <si>
    <t>Revenue</t>
  </si>
  <si>
    <t xml:space="preserve"> </t>
  </si>
  <si>
    <t xml:space="preserve">Banglore </t>
  </si>
  <si>
    <t xml:space="preserve">Mysore </t>
  </si>
  <si>
    <t>Hubli</t>
  </si>
  <si>
    <t xml:space="preserve">Data Analytics </t>
  </si>
  <si>
    <t>Data Science</t>
  </si>
  <si>
    <t>Professional</t>
  </si>
  <si>
    <t>South</t>
  </si>
  <si>
    <t xml:space="preserve"> Revenue by Course</t>
  </si>
  <si>
    <t>Row Labels</t>
  </si>
  <si>
    <t>(blank)</t>
  </si>
  <si>
    <t>Grand Total</t>
  </si>
  <si>
    <t>Sum of Revenue</t>
  </si>
  <si>
    <t>MONTH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</si>
  <si>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</si>
  <si>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</si>
  <si>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</si>
  <si>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</si>
  <si>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</si>
  <si>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</si>
  <si>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</si>
  <si>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</si>
  <si>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</si>
  <si>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</si>
  <si>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</si>
  <si>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</si>
  <si>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Sum of Quantity</t>
  </si>
  <si>
    <t>KPI 3: Average Monthly Revenue (₹)</t>
  </si>
  <si>
    <t>KPI 1: Total Revenue  (₹)</t>
  </si>
  <si>
    <t>KPI 2: Total Enrollment   (₹)</t>
  </si>
  <si>
    <t>Key Insights</t>
  </si>
  <si>
    <t>Data Science has higher enrollments compared to Data Analytics</t>
  </si>
  <si>
    <t>Revenue shows growth with peak performance towards year end</t>
  </si>
  <si>
    <t>Monthly revenue fluctuates, indicating seasonal trends</t>
  </si>
  <si>
    <t>Recommendations</t>
  </si>
  <si>
    <t>Strengthen promotion during low-revenue months</t>
  </si>
  <si>
    <t>Focus on high-demand courses like Data Science</t>
  </si>
  <si>
    <t>Plan capacity expansion for peak periods</t>
  </si>
  <si>
    <t>Join Date</t>
  </si>
  <si>
    <t>Expected End Date</t>
  </si>
  <si>
    <t>Actual End Date</t>
  </si>
  <si>
    <t>Status</t>
  </si>
  <si>
    <t>STU001</t>
  </si>
  <si>
    <t xml:space="preserve"> Student ID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</si>
  <si>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</si>
  <si>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</si>
  <si>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</si>
  <si>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</si>
  <si>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</si>
  <si>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</si>
  <si>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</si>
  <si>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</si>
  <si>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</si>
  <si>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</si>
  <si>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</si>
  <si>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</si>
  <si>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</si>
  <si>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</si>
  <si>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</si>
  <si>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</si>
  <si>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</si>
  <si>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</si>
  <si>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</si>
  <si>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</si>
  <si>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</si>
  <si>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</si>
  <si>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</si>
  <si>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</si>
  <si>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</si>
  <si>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</si>
  <si>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</si>
  <si>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</si>
  <si>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</si>
  <si>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</si>
  <si>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</si>
  <si>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</si>
  <si>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</si>
  <si>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</si>
  <si>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</si>
  <si>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</si>
  <si>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</si>
  <si>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</si>
  <si>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</si>
  <si>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</si>
  <si>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</si>
  <si>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</si>
  <si>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</si>
  <si>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</si>
  <si>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</si>
  <si>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</si>
  <si>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</si>
  <si>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</si>
  <si>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</si>
  <si>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Banglore</t>
  </si>
  <si>
    <t>Mysore</t>
  </si>
  <si>
    <t>Data Analytics</t>
  </si>
  <si>
    <t>Completed</t>
  </si>
  <si>
    <t>Active</t>
  </si>
  <si>
    <t>Dropped</t>
  </si>
  <si>
    <t xml:space="preserve"> 01-08-2025</t>
  </si>
  <si>
    <t xml:space="preserve"> 01-08-2026</t>
  </si>
  <si>
    <t xml:space="preserve"> 01-08-2027</t>
  </si>
  <si>
    <t xml:space="preserve"> 01-08-2028</t>
  </si>
  <si>
    <t xml:space="preserve"> 01-08-2029</t>
  </si>
  <si>
    <t xml:space="preserve"> 01-08-2030</t>
  </si>
  <si>
    <t xml:space="preserve"> 01-08-2031</t>
  </si>
  <si>
    <t xml:space="preserve"> 01-08-2032</t>
  </si>
  <si>
    <t xml:space="preserve"> 01-08-2033</t>
  </si>
  <si>
    <t xml:space="preserve"> 01-08-2034</t>
  </si>
  <si>
    <t>Lifetime (Months)</t>
  </si>
  <si>
    <t xml:space="preserve"> Churn Flag</t>
  </si>
  <si>
    <t>KPI 1: Total Students</t>
  </si>
  <si>
    <t>KPI 2: Churn Rate %</t>
  </si>
  <si>
    <t>KPI 3: Retention Rate %</t>
  </si>
  <si>
    <t>KPI 4: Avg Student Lifetime (Months)</t>
  </si>
  <si>
    <t>Sum of  Churn Flag</t>
  </si>
  <si>
    <t>Average of Lifetime (Months)</t>
  </si>
  <si>
    <t>Count of  Student ID</t>
  </si>
  <si>
    <t>Certain courses show higher student churn</t>
  </si>
  <si>
    <t>Some centers experience more dropouts than others</t>
  </si>
  <si>
    <t>Average student lifetime differs by course</t>
  </si>
  <si>
    <t>Improve onboarding in first 2–3 months</t>
  </si>
  <si>
    <t>Provide extra support for high-churn centers</t>
  </si>
  <si>
    <t>Monitor early engagement indicators</t>
  </si>
  <si>
    <t>Channel</t>
  </si>
  <si>
    <t>Visitors</t>
  </si>
  <si>
    <t>Enquiries</t>
  </si>
  <si>
    <t xml:space="preserve">  Counselling</t>
  </si>
  <si>
    <t>Enrollments</t>
  </si>
  <si>
    <t xml:space="preserve"> Marketing Cost</t>
  </si>
  <si>
    <t>Bangalore</t>
  </si>
  <si>
    <t>Instagram</t>
  </si>
  <si>
    <t>Website</t>
  </si>
  <si>
    <t>Referral</t>
  </si>
  <si>
    <t>Visit → Enquiry %</t>
  </si>
  <si>
    <t xml:space="preserve"> Enquiry → Enrollment %</t>
  </si>
  <si>
    <t>Cost per Enrollment</t>
  </si>
  <si>
    <t>Total Enrollments</t>
  </si>
  <si>
    <t>Avg Cost per Enrollment</t>
  </si>
  <si>
    <t>Sum of Enrollments</t>
  </si>
  <si>
    <t>Average of Enrollments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</si>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</sst>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;@"/>
    <numFmt numFmtId="165" formatCode="[$-409]d/mmm/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top"/>
    </xf>
    <xf numFmtId="0" fontId="6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7" fillId="0" borderId="0" xfId="0" applyNumberFormat="1" applyFont="1"/>
    <xf numFmtId="14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9" fontId="0" fillId="0" borderId="0" xfId="1" applyFont="1"/>
    <xf numFmtId="1" fontId="0" fillId="0" borderId="0" xfId="1" applyNumberFormat="1" applyFont="1"/>
    <xf numFmtId="0" fontId="0" fillId="0" borderId="0" xfId="0" applyAlignment="1">
      <alignment wrapText="1"/>
    </xf>
    <xf numFmtId="9" fontId="0" fillId="0" borderId="0" xfId="1" applyNumberFormat="1" applyFont="1"/>
    <xf numFmtId="0" fontId="9" fillId="0" borderId="0" xfId="0" applyFont="1"/>
    <xf numFmtId="0" fontId="10" fillId="0" borderId="0" xfId="0" applyFont="1"/>
  </cellXfs>
  <cellStyles count="2">
    <cellStyle name="Normal" xfId="0" builtinId="0"/>
    <cellStyle name="Percent" xfId="1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65" formatCode="[$-409]d/mmm/yy;@"/>
    </dxf>
    <dxf>
      <numFmt numFmtId="165" formatCode="[$-409]d/m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Sales_Dashboard!PivotTable1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Sales_Dashboard'!$G$10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Sales_Dashboard'!$F$11:$F$14</c:f>
              <c:strCache>
                <c:ptCount val="3"/>
                <c:pt idx="0">
                  <c:v>Data Analytics </c:v>
                </c:pt>
                <c:pt idx="1">
                  <c:v>Data Science</c:v>
                </c:pt>
                <c:pt idx="2">
                  <c:v>(blank)</c:v>
                </c:pt>
              </c:strCache>
            </c:strRef>
          </c:cat>
          <c:val>
            <c:numRef>
              <c:f>' Sales_Dashboard'!$G$11:$G$14</c:f>
              <c:numCache>
                <c:formatCode>General</c:formatCode>
                <c:ptCount val="3"/>
                <c:pt idx="0">
                  <c:v>127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D-48B5-933F-643F85EA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769536"/>
        <c:axId val="1506771616"/>
      </c:barChart>
      <c:catAx>
        <c:axId val="15067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71616"/>
        <c:crosses val="autoZero"/>
        <c:auto val="1"/>
        <c:lblAlgn val="ctr"/>
        <c:lblOffset val="100"/>
        <c:noMultiLvlLbl val="0"/>
      </c:catAx>
      <c:valAx>
        <c:axId val="15067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6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Sales_Dashboard!PivotTable2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Sales_Dashboard'!$D$10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Sales_Dashboard'!$C$11:$C$15</c:f>
              <c:strCache>
                <c:ptCount val="4"/>
                <c:pt idx="0">
                  <c:v>Banglore </c:v>
                </c:pt>
                <c:pt idx="1">
                  <c:v>Hubli</c:v>
                </c:pt>
                <c:pt idx="2">
                  <c:v>Mysore </c:v>
                </c:pt>
                <c:pt idx="3">
                  <c:v>(blank)</c:v>
                </c:pt>
              </c:strCache>
            </c:strRef>
          </c:cat>
          <c:val>
            <c:numRef>
              <c:f>' Sales_Dashboard'!$D$11:$D$15</c:f>
              <c:numCache>
                <c:formatCode>General</c:formatCode>
                <c:ptCount val="4"/>
                <c:pt idx="0">
                  <c:v>2970000</c:v>
                </c:pt>
                <c:pt idx="1">
                  <c:v>4020000</c:v>
                </c:pt>
                <c:pt idx="2">
                  <c:v>3210000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8-4372-826C-9D906A3B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829504"/>
        <c:axId val="1499829920"/>
        <c:axId val="0"/>
      </c:bar3DChart>
      <c:catAx>
        <c:axId val="14998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29920"/>
        <c:crosses val="autoZero"/>
        <c:auto val="1"/>
        <c:lblAlgn val="ctr"/>
        <c:lblOffset val="100"/>
        <c:noMultiLvlLbl val="0"/>
      </c:catAx>
      <c:valAx>
        <c:axId val="149982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Sales_Dashboard!PivotTable5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Sales_Dashboard'!$J$10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Sales_Dashboard'!$I$11:$I$23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 Sales_Dashboard'!$J$11:$J$23</c:f>
              <c:numCache>
                <c:formatCode>General</c:formatCode>
                <c:ptCount val="12"/>
                <c:pt idx="0">
                  <c:v>720000</c:v>
                </c:pt>
                <c:pt idx="1">
                  <c:v>1170000</c:v>
                </c:pt>
                <c:pt idx="2">
                  <c:v>1800000</c:v>
                </c:pt>
                <c:pt idx="3">
                  <c:v>450000</c:v>
                </c:pt>
                <c:pt idx="4">
                  <c:v>150000</c:v>
                </c:pt>
                <c:pt idx="5">
                  <c:v>750000</c:v>
                </c:pt>
                <c:pt idx="6">
                  <c:v>900000</c:v>
                </c:pt>
                <c:pt idx="7">
                  <c:v>450000</c:v>
                </c:pt>
                <c:pt idx="8">
                  <c:v>540000</c:v>
                </c:pt>
                <c:pt idx="9">
                  <c:v>1050000</c:v>
                </c:pt>
                <c:pt idx="10">
                  <c:v>1350000</c:v>
                </c:pt>
                <c:pt idx="11">
                  <c:v>870000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D61-AA4E-3BAD7DFD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790208"/>
        <c:axId val="1502786880"/>
      </c:lineChart>
      <c:catAx>
        <c:axId val="15027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86880"/>
        <c:crosses val="autoZero"/>
        <c:auto val="1"/>
        <c:lblAlgn val="ctr"/>
        <c:lblOffset val="100"/>
        <c:noMultiLvlLbl val="0"/>
      </c:catAx>
      <c:valAx>
        <c:axId val="150278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Retention_Dashboard!PivotTable1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Retention_Dashboard'!$B$6:$B$8</c:f>
              <c:strCache>
                <c:ptCount val="2"/>
                <c:pt idx="0">
                  <c:v>Data Analytics</c:v>
                </c:pt>
                <c:pt idx="1">
                  <c:v>Data Science</c:v>
                </c:pt>
              </c:strCache>
            </c:strRef>
          </c:cat>
          <c:val>
            <c:numRef>
              <c:f>' Retention_Dashboard'!$C$6:$C$8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2FA-8727-1835DBA28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4322111"/>
        <c:axId val="1044320447"/>
        <c:axId val="0"/>
      </c:bar3DChart>
      <c:catAx>
        <c:axId val="104432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0447"/>
        <c:crosses val="autoZero"/>
        <c:auto val="1"/>
        <c:lblAlgn val="ctr"/>
        <c:lblOffset val="100"/>
        <c:noMultiLvlLbl val="0"/>
      </c:catAx>
      <c:valAx>
        <c:axId val="10443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Retention_Dashboard!PivotTable2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Retention_Dashboard'!$F$5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Retention_Dashboard'!$E$6:$E$9</c:f>
              <c:strCache>
                <c:ptCount val="3"/>
                <c:pt idx="0">
                  <c:v>Banglore</c:v>
                </c:pt>
                <c:pt idx="1">
                  <c:v>Hubli</c:v>
                </c:pt>
                <c:pt idx="2">
                  <c:v>Mysore</c:v>
                </c:pt>
              </c:strCache>
            </c:strRef>
          </c:cat>
          <c:val>
            <c:numRef>
              <c:f>' Retention_Dashboard'!$F$6:$F$9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6-4A31-9AF9-B0C6D81FA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157327"/>
        <c:axId val="962153167"/>
      </c:barChart>
      <c:catAx>
        <c:axId val="96215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53167"/>
        <c:crosses val="autoZero"/>
        <c:auto val="1"/>
        <c:lblAlgn val="ctr"/>
        <c:lblOffset val="100"/>
        <c:noMultiLvlLbl val="0"/>
      </c:catAx>
      <c:valAx>
        <c:axId val="962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5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Retention_Dashboard!PivotTable3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Retention_Dashboard'!$M$7:$M$9</c:f>
              <c:strCache>
                <c:ptCount val="2"/>
                <c:pt idx="0">
                  <c:v>Data Analytics</c:v>
                </c:pt>
                <c:pt idx="1">
                  <c:v>Data Science</c:v>
                </c:pt>
              </c:strCache>
            </c:strRef>
          </c:cat>
          <c:val>
            <c:numRef>
              <c:f>' Retention_Dashboard'!$N$7:$N$9</c:f>
              <c:numCache>
                <c:formatCode>General</c:formatCode>
                <c:ptCount val="2"/>
                <c:pt idx="0">
                  <c:v>6</c:v>
                </c:pt>
                <c:pt idx="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2-4EDA-AD09-BD7030DBB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474223"/>
        <c:axId val="1052481295"/>
        <c:axId val="0"/>
      </c:bar3DChart>
      <c:catAx>
        <c:axId val="105247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1295"/>
        <c:crosses val="autoZero"/>
        <c:auto val="1"/>
        <c:lblAlgn val="ctr"/>
        <c:lblOffset val="100"/>
        <c:noMultiLvlLbl val="0"/>
      </c:catAx>
      <c:valAx>
        <c:axId val="10524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7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[Future_Interns_Data_Analytics (Autosaved).xlsx] Retention_Dashboard!PivotTable4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Retention_Dashboard'!$I$5</c:f>
              <c:strCache>
                <c:ptCount val="1"/>
                <c:pt idx="0">
                  <c:v>Count of  Student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Retention_Dashboard'!$H$6:$H$9</c:f>
              <c:strCache>
                <c:ptCount val="3"/>
                <c:pt idx="0">
                  <c:v>Active</c:v>
                </c:pt>
                <c:pt idx="1">
                  <c:v>Completed</c:v>
                </c:pt>
                <c:pt idx="2">
                  <c:v>Dropped</c:v>
                </c:pt>
              </c:strCache>
            </c:strRef>
          </c:cat>
          <c:val>
            <c:numRef>
              <c:f>' Retention_Dashboard'!$I$6:$I$9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B-40DB-9866-178048EDC974}"/>
            </c:ext>
          </c:extLst>
        </c:ser>
        <c:ser>
          <c:idx val="1"/>
          <c:order val="1"/>
          <c:tx>
            <c:strRef>
              <c:f>' Retention_Dashboard'!$J$5</c:f>
              <c:strCache>
                <c:ptCount val="1"/>
                <c:pt idx="0">
                  <c:v>Sum of  Churn 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Retention_Dashboard'!$H$6:$H$9</c:f>
              <c:strCache>
                <c:ptCount val="3"/>
                <c:pt idx="0">
                  <c:v>Active</c:v>
                </c:pt>
                <c:pt idx="1">
                  <c:v>Completed</c:v>
                </c:pt>
                <c:pt idx="2">
                  <c:v>Dropped</c:v>
                </c:pt>
              </c:strCache>
            </c:strRef>
          </c:cat>
          <c:val>
            <c:numRef>
              <c:f>' Retention_Dashboard'!$J$6:$J$9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B-40DB-9866-178048ED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4326271"/>
        <c:axId val="1044320863"/>
        <c:axId val="0"/>
      </c:bar3DChart>
      <c:catAx>
        <c:axId val="10443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0863"/>
        <c:crosses val="autoZero"/>
        <c:auto val="1"/>
        <c:lblAlgn val="ctr"/>
        <c:lblOffset val="100"/>
        <c:noMultiLvlLbl val="0"/>
      </c:catAx>
      <c:valAx>
        <c:axId val="10443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3712</xdr:colOff>
      <xdr:row>15</xdr:row>
      <xdr:rowOff>54429</xdr:rowOff>
    </xdr:from>
    <xdr:to>
      <xdr:col>6</xdr:col>
      <xdr:colOff>1673678</xdr:colOff>
      <xdr:row>29</xdr:row>
      <xdr:rowOff>162296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1669603</xdr:colOff>
      <xdr:row>16</xdr:row>
      <xdr:rowOff>13607</xdr:rowOff>
    </xdr:from>
    <xdr:to>
      <xdr:col>4</xdr:col>
      <xdr:colOff>13608</xdr:colOff>
      <xdr:row>31</xdr:row>
      <xdr:rowOff>178253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1619750</xdr:colOff>
      <xdr:row>23</xdr:row>
      <xdr:rowOff>183451</xdr:rowOff>
    </xdr:from>
    <xdr:to>
      <xdr:col>10</xdr:col>
      <xdr:colOff>384833</xdr:colOff>
      <xdr:row>37</xdr:row>
      <xdr:rowOff>141762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201386</xdr:colOff>
      <xdr:row>9</xdr:row>
      <xdr:rowOff>108858</xdr:rowOff>
    </xdr:from>
    <xdr:to>
      <xdr:col>3</xdr:col>
      <xdr:colOff>176893</xdr:colOff>
      <xdr:row>21</xdr:row>
      <xdr:rowOff>35379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1079728</xdr:colOff>
      <xdr:row>10</xdr:row>
      <xdr:rowOff>122464</xdr:rowOff>
    </xdr:from>
    <xdr:to>
      <xdr:col>6</xdr:col>
      <xdr:colOff>734787</xdr:colOff>
      <xdr:row>21</xdr:row>
      <xdr:rowOff>91168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2231571</xdr:colOff>
      <xdr:row>11</xdr:row>
      <xdr:rowOff>40822</xdr:rowOff>
    </xdr:from>
    <xdr:to>
      <xdr:col>14</xdr:col>
      <xdr:colOff>27214</xdr:colOff>
      <xdr:row>22</xdr:row>
      <xdr:rowOff>103416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20416</xdr:colOff>
      <xdr:row>10</xdr:row>
      <xdr:rowOff>68035</xdr:rowOff>
    </xdr:from>
    <xdr:to>
      <xdr:col>9</xdr:col>
      <xdr:colOff>993321</xdr:colOff>
      <xdr:row>21</xdr:row>
      <xdr:rowOff>84363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_Retentio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_Retention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50.518792476854" createdVersion="6" refreshedVersion="6" minRefreshableVersion="3" recordCount="730">
  <cacheSource type="worksheet">
    <worksheetSource ref="B1:J731" sheet=" Sales_Data"/>
  </cacheSource>
  <cacheFields count="8">
    <cacheField name="Date" numFmtId="165">
      <sharedItems containsDate="1" containsMixedTypes="1" minDate="2025-01-01T00:00:00" maxDate="2025-12-02T00:00:00" count="13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 "/>
      </sharedItems>
    </cacheField>
    <cacheField name="Center" numFmtId="0">
      <sharedItems containsBlank="1" count="4">
        <s v="Banglore "/>
        <s v="Mysore "/>
        <s v="Hubli"/>
        <m/>
      </sharedItems>
    </cacheField>
    <cacheField name="Course" numFmtId="0">
      <sharedItems containsBlank="1" count="3">
        <s v="Data Analytics "/>
        <s v="Data Science"/>
        <m/>
      </sharedItems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5" maxValue="40" count="13">
        <n v="5"/>
        <n v="10"/>
        <n v="15"/>
        <n v="16"/>
        <n v="18"/>
        <n v="20"/>
        <n v="25"/>
        <n v="26"/>
        <n v="29"/>
        <n v="30"/>
        <n v="35"/>
        <n v="40"/>
        <m/>
      </sharedItems>
    </cacheField>
    <cacheField name="Fee" numFmtId="0">
      <sharedItems containsBlank="1" containsMixedTypes="1" containsNumber="1" containsInteger="1" minValue="30000" maxValue="45000"/>
    </cacheField>
    <cacheField name="Revenue" numFmtId="0">
      <sharedItems containsString="0" containsBlank="1" containsNumber="1" containsInteger="1" minValue="150000" maxValue="1800000" count="12">
        <n v="150000"/>
        <n v="450000"/>
        <n v="720000"/>
        <n v="540000"/>
        <n v="900000"/>
        <n v="750000"/>
        <n v="1170000"/>
        <n v="870000"/>
        <n v="1350000"/>
        <n v="1050000"/>
        <n v="180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51.429829166664" createdVersion="6" refreshedVersion="6" minRefreshableVersion="3" recordCount="51">
  <cacheSource type="worksheet">
    <worksheetSource ref="A1:J52" sheet=" Student_Retention_Data"/>
  </cacheSource>
  <cacheFields count="10">
    <cacheField name=" Student ID" numFmtId="0">
      <sharedItems containsBlank="1" count="51">
        <s v="STU001"/>
        <s v="STU002"/>
        <s v="STU003"/>
        <s v="STU004"/>
        <s v="STU005"/>
        <s v="STU006"/>
        <s v="STU007"/>
        <s v="STU008"/>
        <s v="STU009"/>
        <s v="STU010"/>
        <s v="STU011"/>
        <s v="STU012"/>
        <s v="STU013"/>
        <s v="STU014"/>
        <s v="STU015"/>
        <s v="STU016"/>
        <s v="STU017"/>
        <s v="STU018"/>
        <s v="STU019"/>
        <s v="STU020"/>
        <s v="STU021"/>
        <s v="STU022"/>
        <s v="STU023"/>
        <s v="STU024"/>
        <s v="STU025"/>
        <s v="STU026"/>
        <s v="STU027"/>
        <s v="STU028"/>
        <s v="STU029"/>
        <s v="STU030"/>
        <s v="STU031"/>
        <s v="STU032"/>
        <s v="STU033"/>
        <s v="STU034"/>
        <s v="STU035"/>
        <s v="STU036"/>
        <s v="STU037"/>
        <s v="STU038"/>
        <s v="STU039"/>
        <s v="STU040"/>
        <s v="STU041"/>
        <s v="STU042"/>
        <s v="STU043"/>
        <s v="STU044"/>
        <s v="STU045"/>
        <s v="STU046"/>
        <s v="STU047"/>
        <s v="STU048"/>
        <s v="STU049"/>
        <s v="STU050"/>
        <m/>
      </sharedItems>
    </cacheField>
    <cacheField name="Center" numFmtId="0">
      <sharedItems containsBlank="1" count="4">
        <s v="Banglore"/>
        <s v="Mysore"/>
        <s v="Hubli"/>
        <m/>
      </sharedItems>
    </cacheField>
    <cacheField name="Course" numFmtId="0">
      <sharedItems containsBlank="1" count="3">
        <s v="Data Analytics"/>
        <s v="Data Science"/>
        <m/>
      </sharedItems>
    </cacheField>
    <cacheField name="Join Date" numFmtId="0">
      <sharedItems containsNonDate="0" containsDate="1" containsString="0" containsBlank="1" minDate="2025-01-01T00:00:00" maxDate="2029-02-02T00:00:00"/>
    </cacheField>
    <cacheField name="Expected End Date" numFmtId="14">
      <sharedItems containsSemiMixedTypes="0" containsNonDate="0" containsDate="1" containsString="0" minDate="1900-06-30T00:00:00" maxDate="2029-08-02T00:00:00"/>
    </cacheField>
    <cacheField name="Actual End Date" numFmtId="14">
      <sharedItems containsDate="1" containsMixedTypes="1" minDate="1900-06-30T00:00:00" maxDate="2029-07-02T00:00:00"/>
    </cacheField>
    <cacheField name="Status" numFmtId="0">
      <sharedItems count="3">
        <s v="Completed"/>
        <s v="Dropped"/>
        <s v="Active"/>
      </sharedItems>
    </cacheField>
    <cacheField name="Fee" numFmtId="0">
      <sharedItems containsSemiMixedTypes="0" containsString="0" containsNumber="1" containsInteger="1" minValue="30000" maxValue="45000"/>
    </cacheField>
    <cacheField name="Lifetime (Months)" numFmtId="0">
      <sharedItems containsMixedTypes="1" containsNumber="1" containsInteger="1" minValue="3" maxValue="6" count="4">
        <n v="6"/>
        <n v="3"/>
        <s v=""/>
        <n v="5"/>
      </sharedItems>
    </cacheField>
    <cacheField name=" Chur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51.451461226854" createdVersion="6" refreshedVersion="6" minRefreshableVersion="3" recordCount="4">
  <cacheSource type="worksheet">
    <worksheetSource ref="A1:J5" sheet=" Marketing_Funnel_Data"/>
  </cacheSource>
  <cacheFields count="10">
    <cacheField name="Center" numFmtId="0">
      <sharedItems/>
    </cacheField>
    <cacheField name="Channel" numFmtId="0">
      <sharedItems count="3">
        <s v="Instagram"/>
        <s v="Website"/>
        <s v="Referral"/>
      </sharedItems>
    </cacheField>
    <cacheField name="Visitors" numFmtId="0">
      <sharedItems containsSemiMixedTypes="0" containsString="0" containsNumber="1" containsInteger="1" minValue="400" maxValue="1200"/>
    </cacheField>
    <cacheField name="Enquiries" numFmtId="0">
      <sharedItems containsSemiMixedTypes="0" containsString="0" containsNumber="1" containsInteger="1" minValue="90" maxValue="180"/>
    </cacheField>
    <cacheField name="  Counselling" numFmtId="0">
      <sharedItems containsSemiMixedTypes="0" containsString="0" containsNumber="1" containsInteger="1" minValue="40" maxValue="100"/>
    </cacheField>
    <cacheField name="Enrollments" numFmtId="0">
      <sharedItems containsSemiMixedTypes="0" containsString="0" containsNumber="1" containsInteger="1" minValue="18" maxValue="60"/>
    </cacheField>
    <cacheField name=" Marketing Cost" numFmtId="0">
      <sharedItems containsSemiMixedTypes="0" containsString="0" containsNumber="1" containsInteger="1" minValue="10000" maxValue="30000"/>
    </cacheField>
    <cacheField name="Visit → Enquiry %" numFmtId="9">
      <sharedItems containsSemiMixedTypes="0" containsString="0" containsNumber="1" minValue="0.12857142857142856" maxValue="0.3"/>
    </cacheField>
    <cacheField name=" Enquiry → Enrollment %" numFmtId="9">
      <sharedItems containsSemiMixedTypes="0" containsString="0" containsNumber="1" minValue="0.2" maxValue="0.5"/>
    </cacheField>
    <cacheField name="Cost per Enrollment" numFmtId="9">
      <sharedItems containsSemiMixedTypes="0" containsString="0" containsNumber="1" minValue="166.66666666666666" maxValue="83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hp" refreshedDate="46051.461415972219" backgroundQuery="1" createdVersion="6" refreshedVersion="6" minRefreshableVersion="3" recordCount="0" supportSubquery="1" supportAdvancedDrill="1">
  <cacheSource type="external" connectionId="1"/>
  <cacheFields count="2">
    <cacheField name="[Range].[MONTH].[MONTH]" caption="MONTH" numFmtId="0" hierarchy="1" level="1">
      <sharedItems count="12">
        <s v="Apr-2025"/>
        <s v="Aug-2025"/>
        <s v="Dec-2025"/>
        <s v="Feb-2025"/>
        <s v="Jan-2025"/>
        <s v="Jul-2025"/>
        <s v="Jun-2025"/>
        <s v="Mar-2025"/>
        <s v="May-2025"/>
        <s v="Nov-2025"/>
        <s v="Oct-2025"/>
        <s v="Sep-2025"/>
      </sharedItems>
    </cacheField>
    <cacheField name="[Measures].[Sum of Revenue]" caption="Sum of Revenue" numFmtId="0" hierarchy="11" level="32767"/>
  </cacheFields>
  <cacheHierarchies count="12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enter]" caption="Center" attribute="1" defaultMemberUniqueName="[Range].[Center].[All]" allUniqueName="[Range].[Center].[All]" dimensionUniqueName="[Range]" displayFolder="" count="0" memberValueDatatype="130" unbalanced="0"/>
    <cacheHierarchy uniqueName="[Range].[Course]" caption="Course" attribute="1" defaultMemberUniqueName="[Range].[Course].[All]" allUniqueName="[Range].[Cours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Fee]" caption="Fee" attribute="1" defaultMemberUniqueName="[Range].[Fee].[All]" allUniqueName="[Range].[Fee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0">
  <r>
    <x v="0"/>
    <x v="0"/>
    <x v="0"/>
    <s v="Professional"/>
    <s v="South"/>
    <x v="0"/>
    <n v="30000"/>
    <x v="0"/>
  </r>
  <r>
    <x v="1"/>
    <x v="1"/>
    <x v="1"/>
    <s v="Professional"/>
    <s v="South"/>
    <x v="1"/>
    <n v="45000"/>
    <x v="1"/>
  </r>
  <r>
    <x v="2"/>
    <x v="2"/>
    <x v="0"/>
    <s v="Professional"/>
    <s v="South"/>
    <x v="2"/>
    <n v="30000"/>
    <x v="1"/>
  </r>
  <r>
    <x v="3"/>
    <x v="0"/>
    <x v="1"/>
    <s v="Professional"/>
    <s v="South"/>
    <x v="3"/>
    <n v="45000"/>
    <x v="2"/>
  </r>
  <r>
    <x v="4"/>
    <x v="1"/>
    <x v="0"/>
    <s v="Professional"/>
    <s v="South"/>
    <x v="4"/>
    <n v="30000"/>
    <x v="3"/>
  </r>
  <r>
    <x v="5"/>
    <x v="2"/>
    <x v="1"/>
    <s v="Professional"/>
    <s v="South"/>
    <x v="5"/>
    <n v="45000"/>
    <x v="4"/>
  </r>
  <r>
    <x v="6"/>
    <x v="0"/>
    <x v="0"/>
    <s v="Professional"/>
    <s v="South"/>
    <x v="6"/>
    <n v="30000"/>
    <x v="5"/>
  </r>
  <r>
    <x v="7"/>
    <x v="1"/>
    <x v="1"/>
    <s v="Professional"/>
    <s v="South"/>
    <x v="7"/>
    <n v="45000"/>
    <x v="6"/>
  </r>
  <r>
    <x v="8"/>
    <x v="2"/>
    <x v="0"/>
    <s v="Professional"/>
    <s v="South"/>
    <x v="8"/>
    <n v="30000"/>
    <x v="7"/>
  </r>
  <r>
    <x v="9"/>
    <x v="0"/>
    <x v="1"/>
    <s v="Professional"/>
    <s v="South"/>
    <x v="9"/>
    <n v="45000"/>
    <x v="8"/>
  </r>
  <r>
    <x v="10"/>
    <x v="1"/>
    <x v="0"/>
    <s v="Professional"/>
    <s v="South"/>
    <x v="10"/>
    <n v="30000"/>
    <x v="9"/>
  </r>
  <r>
    <x v="11"/>
    <x v="2"/>
    <x v="1"/>
    <s v="Professional"/>
    <s v="South"/>
    <x v="11"/>
    <n v="45000"/>
    <x v="10"/>
  </r>
  <r>
    <x v="12"/>
    <x v="3"/>
    <x v="2"/>
    <m/>
    <m/>
    <x v="12"/>
    <s v=" "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x v="0"/>
    <d v="2025-01-01T00:00:00"/>
    <d v="2025-07-01T00:00:00"/>
    <d v="2025-07-01T00:00:00"/>
    <x v="0"/>
    <n v="30000"/>
    <x v="0"/>
    <n v="0"/>
  </r>
  <r>
    <x v="1"/>
    <x v="1"/>
    <x v="1"/>
    <d v="2025-02-01T00:00:00"/>
    <d v="2025-08-01T00:00:00"/>
    <d v="2025-05-01T00:00:00"/>
    <x v="1"/>
    <n v="45000"/>
    <x v="1"/>
    <n v="1"/>
  </r>
  <r>
    <x v="2"/>
    <x v="2"/>
    <x v="0"/>
    <d v="2025-03-01T00:00:00"/>
    <d v="2025-09-01T00:00:00"/>
    <s v=" "/>
    <x v="2"/>
    <n v="30000"/>
    <x v="2"/>
    <n v="0"/>
  </r>
  <r>
    <x v="3"/>
    <x v="0"/>
    <x v="1"/>
    <d v="2025-04-01T00:00:00"/>
    <d v="2025-10-01T00:00:00"/>
    <d v="2025-10-01T00:00:00"/>
    <x v="0"/>
    <n v="45000"/>
    <x v="0"/>
    <n v="0"/>
  </r>
  <r>
    <x v="4"/>
    <x v="1"/>
    <x v="0"/>
    <d v="2025-05-01T00:00:00"/>
    <d v="2025-11-01T00:00:00"/>
    <s v=" 01-08-2025"/>
    <x v="1"/>
    <n v="30000"/>
    <x v="2"/>
    <n v="1"/>
  </r>
  <r>
    <x v="5"/>
    <x v="2"/>
    <x v="1"/>
    <d v="2025-06-01T00:00:00"/>
    <d v="2025-12-01T00:00:00"/>
    <d v="2025-12-01T00:00:00"/>
    <x v="0"/>
    <n v="45000"/>
    <x v="0"/>
    <n v="0"/>
  </r>
  <r>
    <x v="6"/>
    <x v="0"/>
    <x v="0"/>
    <d v="2025-07-01T00:00:00"/>
    <d v="2026-01-01T00:00:00"/>
    <d v="2025-05-02T00:00:00"/>
    <x v="1"/>
    <n v="30000"/>
    <x v="2"/>
    <n v="1"/>
  </r>
  <r>
    <x v="7"/>
    <x v="1"/>
    <x v="1"/>
    <d v="2025-08-01T00:00:00"/>
    <d v="2026-02-01T00:00:00"/>
    <s v=" "/>
    <x v="2"/>
    <n v="45000"/>
    <x v="2"/>
    <n v="0"/>
  </r>
  <r>
    <x v="8"/>
    <x v="2"/>
    <x v="0"/>
    <d v="2025-09-01T00:00:00"/>
    <d v="2026-03-01T00:00:00"/>
    <d v="2026-03-01T00:00:00"/>
    <x v="0"/>
    <n v="30000"/>
    <x v="0"/>
    <n v="0"/>
  </r>
  <r>
    <x v="9"/>
    <x v="0"/>
    <x v="1"/>
    <d v="2025-10-01T00:00:00"/>
    <d v="2026-04-01T00:00:00"/>
    <s v=" 01-08-2026"/>
    <x v="1"/>
    <n v="45000"/>
    <x v="2"/>
    <n v="1"/>
  </r>
  <r>
    <x v="10"/>
    <x v="1"/>
    <x v="0"/>
    <d v="2025-11-01T00:00:00"/>
    <d v="2026-05-01T00:00:00"/>
    <d v="2026-05-01T00:00:00"/>
    <x v="0"/>
    <n v="30000"/>
    <x v="0"/>
    <n v="0"/>
  </r>
  <r>
    <x v="11"/>
    <x v="2"/>
    <x v="1"/>
    <d v="2025-12-01T00:00:00"/>
    <d v="2026-06-01T00:00:00"/>
    <d v="2026-03-01T00:00:00"/>
    <x v="1"/>
    <n v="45000"/>
    <x v="1"/>
    <n v="1"/>
  </r>
  <r>
    <x v="12"/>
    <x v="0"/>
    <x v="0"/>
    <d v="2026-01-01T00:00:00"/>
    <d v="2026-07-01T00:00:00"/>
    <s v=" "/>
    <x v="2"/>
    <n v="30000"/>
    <x v="2"/>
    <n v="0"/>
  </r>
  <r>
    <x v="13"/>
    <x v="1"/>
    <x v="1"/>
    <d v="2026-02-01T00:00:00"/>
    <d v="2026-08-01T00:00:00"/>
    <d v="2026-08-01T00:00:00"/>
    <x v="0"/>
    <n v="45000"/>
    <x v="0"/>
    <n v="0"/>
  </r>
  <r>
    <x v="14"/>
    <x v="2"/>
    <x v="0"/>
    <d v="2026-03-01T00:00:00"/>
    <d v="2026-09-01T00:00:00"/>
    <s v=" 01-08-2027"/>
    <x v="1"/>
    <n v="30000"/>
    <x v="2"/>
    <n v="1"/>
  </r>
  <r>
    <x v="15"/>
    <x v="0"/>
    <x v="1"/>
    <d v="2026-04-01T00:00:00"/>
    <d v="2026-10-01T00:00:00"/>
    <d v="2026-10-01T00:00:00"/>
    <x v="0"/>
    <n v="45000"/>
    <x v="0"/>
    <n v="0"/>
  </r>
  <r>
    <x v="16"/>
    <x v="1"/>
    <x v="0"/>
    <d v="2026-05-01T00:00:00"/>
    <d v="2026-11-01T00:00:00"/>
    <d v="2025-05-04T00:00:00"/>
    <x v="1"/>
    <n v="30000"/>
    <x v="2"/>
    <n v="1"/>
  </r>
  <r>
    <x v="17"/>
    <x v="2"/>
    <x v="1"/>
    <d v="2026-06-01T00:00:00"/>
    <d v="2026-12-01T00:00:00"/>
    <s v=" "/>
    <x v="2"/>
    <n v="45000"/>
    <x v="2"/>
    <n v="0"/>
  </r>
  <r>
    <x v="18"/>
    <x v="0"/>
    <x v="0"/>
    <d v="2026-07-01T00:00:00"/>
    <d v="2027-01-01T00:00:00"/>
    <d v="2027-01-01T00:00:00"/>
    <x v="0"/>
    <n v="30000"/>
    <x v="0"/>
    <n v="0"/>
  </r>
  <r>
    <x v="19"/>
    <x v="1"/>
    <x v="1"/>
    <d v="2026-08-01T00:00:00"/>
    <d v="2027-02-01T00:00:00"/>
    <s v=" 01-08-2028"/>
    <x v="1"/>
    <n v="45000"/>
    <x v="2"/>
    <n v="1"/>
  </r>
  <r>
    <x v="20"/>
    <x v="2"/>
    <x v="0"/>
    <d v="2026-09-01T00:00:00"/>
    <d v="2027-03-01T00:00:00"/>
    <d v="2027-03-01T00:00:00"/>
    <x v="0"/>
    <n v="30000"/>
    <x v="0"/>
    <n v="0"/>
  </r>
  <r>
    <x v="21"/>
    <x v="0"/>
    <x v="1"/>
    <d v="2026-10-01T00:00:00"/>
    <d v="2027-04-01T00:00:00"/>
    <d v="2025-05-05T00:00:00"/>
    <x v="1"/>
    <n v="45000"/>
    <x v="2"/>
    <n v="1"/>
  </r>
  <r>
    <x v="22"/>
    <x v="1"/>
    <x v="0"/>
    <d v="2026-11-01T00:00:00"/>
    <d v="2027-05-01T00:00:00"/>
    <s v=" "/>
    <x v="2"/>
    <n v="30000"/>
    <x v="2"/>
    <n v="0"/>
  </r>
  <r>
    <x v="23"/>
    <x v="2"/>
    <x v="1"/>
    <d v="2026-12-01T00:00:00"/>
    <d v="2027-06-01T00:00:00"/>
    <d v="2027-06-01T00:00:00"/>
    <x v="0"/>
    <n v="45000"/>
    <x v="0"/>
    <n v="0"/>
  </r>
  <r>
    <x v="24"/>
    <x v="0"/>
    <x v="0"/>
    <d v="2027-01-01T00:00:00"/>
    <d v="2027-07-01T00:00:00"/>
    <s v=" 01-08-2029"/>
    <x v="1"/>
    <n v="30000"/>
    <x v="2"/>
    <n v="1"/>
  </r>
  <r>
    <x v="25"/>
    <x v="1"/>
    <x v="1"/>
    <d v="2027-02-01T00:00:00"/>
    <d v="2027-08-01T00:00:00"/>
    <d v="2027-08-01T00:00:00"/>
    <x v="0"/>
    <n v="45000"/>
    <x v="0"/>
    <n v="0"/>
  </r>
  <r>
    <x v="26"/>
    <x v="2"/>
    <x v="0"/>
    <d v="2027-03-01T00:00:00"/>
    <d v="2027-09-01T00:00:00"/>
    <d v="2025-05-06T00:00:00"/>
    <x v="1"/>
    <n v="30000"/>
    <x v="2"/>
    <n v="1"/>
  </r>
  <r>
    <x v="27"/>
    <x v="0"/>
    <x v="1"/>
    <d v="2027-04-01T00:00:00"/>
    <d v="2027-10-01T00:00:00"/>
    <s v=" "/>
    <x v="2"/>
    <n v="45000"/>
    <x v="2"/>
    <n v="0"/>
  </r>
  <r>
    <x v="28"/>
    <x v="1"/>
    <x v="0"/>
    <d v="2027-05-01T00:00:00"/>
    <d v="2027-11-01T00:00:00"/>
    <d v="2027-11-01T00:00:00"/>
    <x v="0"/>
    <n v="30000"/>
    <x v="0"/>
    <n v="0"/>
  </r>
  <r>
    <x v="29"/>
    <x v="2"/>
    <x v="1"/>
    <d v="2027-06-01T00:00:00"/>
    <d v="2027-12-01T00:00:00"/>
    <s v=" 01-08-2030"/>
    <x v="1"/>
    <n v="45000"/>
    <x v="2"/>
    <n v="1"/>
  </r>
  <r>
    <x v="30"/>
    <x v="0"/>
    <x v="0"/>
    <d v="2027-07-01T00:00:00"/>
    <d v="2028-01-01T00:00:00"/>
    <d v="2028-01-01T00:00:00"/>
    <x v="0"/>
    <n v="30000"/>
    <x v="0"/>
    <n v="0"/>
  </r>
  <r>
    <x v="31"/>
    <x v="1"/>
    <x v="1"/>
    <d v="2027-08-01T00:00:00"/>
    <d v="2028-02-01T00:00:00"/>
    <d v="2025-05-07T00:00:00"/>
    <x v="1"/>
    <n v="45000"/>
    <x v="2"/>
    <n v="1"/>
  </r>
  <r>
    <x v="32"/>
    <x v="2"/>
    <x v="0"/>
    <d v="2027-09-01T00:00:00"/>
    <d v="2028-03-01T00:00:00"/>
    <s v=" "/>
    <x v="2"/>
    <n v="30000"/>
    <x v="2"/>
    <n v="0"/>
  </r>
  <r>
    <x v="33"/>
    <x v="0"/>
    <x v="1"/>
    <d v="2027-10-01T00:00:00"/>
    <d v="2028-04-01T00:00:00"/>
    <d v="2028-04-01T00:00:00"/>
    <x v="0"/>
    <n v="45000"/>
    <x v="0"/>
    <n v="0"/>
  </r>
  <r>
    <x v="34"/>
    <x v="1"/>
    <x v="0"/>
    <d v="2027-11-01T00:00:00"/>
    <d v="2028-05-01T00:00:00"/>
    <s v=" 01-08-2031"/>
    <x v="1"/>
    <n v="30000"/>
    <x v="2"/>
    <n v="1"/>
  </r>
  <r>
    <x v="35"/>
    <x v="2"/>
    <x v="1"/>
    <d v="2027-12-01T00:00:00"/>
    <d v="2028-06-01T00:00:00"/>
    <d v="2028-06-01T00:00:00"/>
    <x v="0"/>
    <n v="45000"/>
    <x v="0"/>
    <n v="0"/>
  </r>
  <r>
    <x v="36"/>
    <x v="0"/>
    <x v="0"/>
    <d v="2028-01-01T00:00:00"/>
    <d v="2028-07-01T00:00:00"/>
    <d v="2025-05-08T00:00:00"/>
    <x v="1"/>
    <n v="30000"/>
    <x v="2"/>
    <n v="1"/>
  </r>
  <r>
    <x v="37"/>
    <x v="1"/>
    <x v="1"/>
    <d v="2028-02-01T00:00:00"/>
    <d v="2028-08-01T00:00:00"/>
    <s v=" "/>
    <x v="2"/>
    <n v="45000"/>
    <x v="2"/>
    <n v="0"/>
  </r>
  <r>
    <x v="38"/>
    <x v="2"/>
    <x v="0"/>
    <d v="2028-03-01T00:00:00"/>
    <d v="2028-09-01T00:00:00"/>
    <d v="2028-09-01T00:00:00"/>
    <x v="0"/>
    <n v="30000"/>
    <x v="0"/>
    <n v="0"/>
  </r>
  <r>
    <x v="39"/>
    <x v="0"/>
    <x v="1"/>
    <d v="2028-04-01T00:00:00"/>
    <d v="2028-10-01T00:00:00"/>
    <s v=" 01-08-2032"/>
    <x v="1"/>
    <n v="45000"/>
    <x v="2"/>
    <n v="1"/>
  </r>
  <r>
    <x v="40"/>
    <x v="1"/>
    <x v="0"/>
    <d v="2028-05-01T00:00:00"/>
    <d v="2028-11-01T00:00:00"/>
    <d v="2028-11-01T00:00:00"/>
    <x v="0"/>
    <n v="30000"/>
    <x v="0"/>
    <n v="0"/>
  </r>
  <r>
    <x v="41"/>
    <x v="2"/>
    <x v="1"/>
    <d v="2028-06-01T00:00:00"/>
    <d v="2028-12-01T00:00:00"/>
    <d v="2025-05-09T00:00:00"/>
    <x v="1"/>
    <n v="45000"/>
    <x v="2"/>
    <n v="1"/>
  </r>
  <r>
    <x v="42"/>
    <x v="0"/>
    <x v="0"/>
    <d v="2028-07-01T00:00:00"/>
    <d v="2029-01-01T00:00:00"/>
    <s v=" "/>
    <x v="2"/>
    <n v="30000"/>
    <x v="2"/>
    <n v="0"/>
  </r>
  <r>
    <x v="43"/>
    <x v="1"/>
    <x v="1"/>
    <d v="2028-08-01T00:00:00"/>
    <d v="2029-02-01T00:00:00"/>
    <d v="2029-02-01T00:00:00"/>
    <x v="0"/>
    <n v="45000"/>
    <x v="0"/>
    <n v="0"/>
  </r>
  <r>
    <x v="44"/>
    <x v="2"/>
    <x v="0"/>
    <d v="2028-09-01T00:00:00"/>
    <d v="2029-03-01T00:00:00"/>
    <s v=" 01-08-2033"/>
    <x v="1"/>
    <n v="30000"/>
    <x v="2"/>
    <n v="1"/>
  </r>
  <r>
    <x v="45"/>
    <x v="0"/>
    <x v="1"/>
    <d v="2028-10-01T00:00:00"/>
    <d v="2029-04-01T00:00:00"/>
    <d v="2029-04-01T00:00:00"/>
    <x v="0"/>
    <n v="45000"/>
    <x v="0"/>
    <n v="0"/>
  </r>
  <r>
    <x v="46"/>
    <x v="1"/>
    <x v="0"/>
    <d v="2028-11-01T00:00:00"/>
    <d v="2029-05-01T00:00:00"/>
    <d v="2025-05-10T00:00:00"/>
    <x v="1"/>
    <n v="30000"/>
    <x v="2"/>
    <n v="1"/>
  </r>
  <r>
    <x v="47"/>
    <x v="2"/>
    <x v="1"/>
    <d v="2028-12-01T00:00:00"/>
    <d v="2029-06-01T00:00:00"/>
    <s v=" "/>
    <x v="2"/>
    <n v="45000"/>
    <x v="2"/>
    <n v="0"/>
  </r>
  <r>
    <x v="48"/>
    <x v="0"/>
    <x v="0"/>
    <d v="2029-01-01T00:00:00"/>
    <d v="2029-07-01T00:00:00"/>
    <d v="2029-07-01T00:00:00"/>
    <x v="0"/>
    <n v="30000"/>
    <x v="0"/>
    <n v="0"/>
  </r>
  <r>
    <x v="49"/>
    <x v="1"/>
    <x v="1"/>
    <d v="2029-02-01T00:00:00"/>
    <d v="2029-08-01T00:00:00"/>
    <s v=" 01-08-2034"/>
    <x v="1"/>
    <n v="45000"/>
    <x v="2"/>
    <n v="1"/>
  </r>
  <r>
    <x v="50"/>
    <x v="3"/>
    <x v="2"/>
    <m/>
    <d v="1900-06-30T00:00:00"/>
    <d v="1900-06-30T00:00:00"/>
    <x v="0"/>
    <n v="45000"/>
    <x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s v="Bangalore"/>
    <x v="0"/>
    <n v="1200"/>
    <n v="180"/>
    <n v="90"/>
    <n v="45"/>
    <n v="30000"/>
    <n v="0.15"/>
    <n v="0.25"/>
    <n v="666.66666666666663"/>
  </r>
  <r>
    <s v="Bangalore"/>
    <x v="1"/>
    <n v="900"/>
    <n v="150"/>
    <n v="80"/>
    <n v="40"/>
    <n v="25000"/>
    <n v="0.16666666666666666"/>
    <n v="0.26666666666666666"/>
    <n v="625"/>
  </r>
  <r>
    <s v="Mysore"/>
    <x v="0"/>
    <n v="700"/>
    <n v="90"/>
    <n v="40"/>
    <n v="18"/>
    <n v="15000"/>
    <n v="0.12857142857142856"/>
    <n v="0.2"/>
    <n v="833.33333333333337"/>
  </r>
  <r>
    <s v="Mysore"/>
    <x v="2"/>
    <n v="400"/>
    <n v="120"/>
    <n v="100"/>
    <n v="60"/>
    <n v="10000"/>
    <n v="0.3"/>
    <n v="0.5"/>
    <n v="166.6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C10:D15" firstHeaderRow="1" firstDataRow="1" firstDataCol="1"/>
  <pivotFields count="8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3">
        <item x="0"/>
        <item x="1"/>
        <item x="3"/>
        <item x="2"/>
        <item x="5"/>
        <item x="7"/>
        <item x="4"/>
        <item x="9"/>
        <item x="6"/>
        <item x="8"/>
        <item x="10"/>
        <item x="1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1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F10:G14" firstHeaderRow="1" firstDataRow="1" firstDataCol="1"/>
  <pivotFields count="8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13">
        <item x="0"/>
        <item x="1"/>
        <item x="3"/>
        <item x="2"/>
        <item x="5"/>
        <item x="7"/>
        <item x="4"/>
        <item x="9"/>
        <item x="6"/>
        <item x="8"/>
        <item x="10"/>
        <item x="1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5" baseField="2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I10:J23" firstHeaderRow="1" firstDataRow="1" firstDataCol="1"/>
  <pivotFields count="2">
    <pivotField axis="axisRow" allDrilled="1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 Sales_Data!$B$1:$J$731">
        <x15:activeTabTopLevelEntity name="[Rang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H5:J9" firstHeaderRow="0" firstDataRow="1" firstDataCol="1"/>
  <pivotFields count="10">
    <pivotField dataFiel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 Student ID" fld="0" subtotal="count" baseField="0" baseItem="0"/>
    <dataField name="Sum of  Churn Flag" fld="9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M6:N9" firstHeaderRow="1" firstDataRow="1" firstDataCol="1"/>
  <pivotFields count="10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numFmtId="14" showAll="0"/>
    <pivotField showAll="0"/>
    <pivotField showAll="0"/>
    <pivotField showAll="0"/>
    <pivotField dataField="1" showAll="0">
      <items count="5">
        <item x="1"/>
        <item x="3"/>
        <item x="0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Lifetime (Months)" fld="8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5:F9" firstHeaderRow="1" firstDataRow="1" firstDataCol="1"/>
  <pivotFields count="10"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Churn Flag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5:C8" firstHeaderRow="1" firstDataRow="1" firstDataCol="1"/>
  <pivotFields count="10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 Churn Flag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E24:AF25" firstHeaderRow="0" firstDataRow="1" firstDataCol="0"/>
  <pivotFields count="10"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Enrollments" fld="5" baseField="0" baseItem="0"/>
    <dataField name="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E10" firstHeaderRow="1" firstDataRow="1" firstDataCol="1"/>
  <pivotFields count="1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rollment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B10" firstHeaderRow="1" firstDataRow="1" firstDataCol="1"/>
  <pivotFields count="1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rollme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1:J13" totalsRowShown="0" headerRowDxfId="19">
  <autoFilter ref="B1:J13"/>
  <tableColumns count="9">
    <tableColumn id="1" name="Date" dataDxfId="21"/>
    <tableColumn id="2" name="MONTH" dataDxfId="20">
      <calculatedColumnFormula>TEXT(B2, "mmm-yyyy")</calculatedColumnFormula>
    </tableColumn>
    <tableColumn id="3" name="Center"/>
    <tableColumn id="4" name="Course"/>
    <tableColumn id="5" name="Category"/>
    <tableColumn id="6" name="Region"/>
    <tableColumn id="7" name="Quantity"/>
    <tableColumn id="8" name="Fee"/>
    <tableColumn id="9" name="Revenue">
      <calculatedColumnFormula>$H2*$I2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7:C8" totalsRowShown="0" headerRowDxfId="16" dataDxfId="17">
  <autoFilter ref="C7:C8"/>
  <tableColumns count="1">
    <tableColumn id="1" name="KPI 1: Total Revenue  (₹)" dataDxfId="18">
      <calculatedColumnFormula>SUM(' Sales_Data'!J:J)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F7:F8" totalsRowShown="0" headerRowDxfId="13" dataDxfId="14">
  <autoFilter ref="F7:F8"/>
  <tableColumns count="1">
    <tableColumn id="1" name="KPI 2: Total Enrollment   (₹)" dataDxfId="15">
      <calculatedColumnFormula>SUM(' Sales_Data'!H:H)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I7:I8" totalsRowShown="0" headerRowDxfId="10" dataDxfId="11">
  <autoFilter ref="I7:I8"/>
  <tableColumns count="1">
    <tableColumn id="1" name="KPI 3: Average Monthly Revenue (₹)" dataDxfId="12">
      <calculatedColumnFormula>AVERAGE(' Sales_Data'!J2:J13)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J52" totalsRowShown="0" headerRowDxfId="6">
  <autoFilter ref="A1:J52"/>
  <tableColumns count="10">
    <tableColumn id="1" name=" Student ID"/>
    <tableColumn id="2" name="Center"/>
    <tableColumn id="3" name="Course"/>
    <tableColumn id="4" name="Join Date"/>
    <tableColumn id="5" name="Expected End Date" dataDxfId="9">
      <calculatedColumnFormula>EDATE(D2,6)</calculatedColumnFormula>
    </tableColumn>
    <tableColumn id="6" name="Actual End Date" dataDxfId="8"/>
    <tableColumn id="7" name="Status" dataDxfId="7"/>
    <tableColumn id="8" name="Fee">
      <calculatedColumnFormula xml:space="preserve"> IF(C2="Data Analytics",30000,45000)</calculatedColumnFormula>
    </tableColumn>
    <tableColumn id="9" name="Lifetime (Months)">
      <calculatedColumnFormula>IFERROR(IF(OR(F2="",F2&lt;D2),"",DATEDIF(D2,F2,"M")),"")</calculatedColumnFormula>
    </tableColumn>
    <tableColumn id="10" name=" Churn Flag">
      <calculatedColumnFormula>IF(G2="Dropped",1,0)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B2:B3" totalsRowShown="0" headerRowDxfId="5">
  <autoFilter ref="B2:B3"/>
  <tableColumns count="1">
    <tableColumn id="1" name="KPI 1: Total Students">
      <calculatedColumnFormula>COUNTA([1]Student_Retention_Data!A2:A51)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1" name="Table11" displayName="Table11" ref="E2:E3" totalsRowShown="0" headerRowDxfId="2" dataDxfId="3" dataCellStyle="Percent">
  <autoFilter ref="E2:E3"/>
  <tableColumns count="1">
    <tableColumn id="1" name="KPI 2: Churn Rate %" dataDxfId="4" dataCellStyle="Percent">
      <calculatedColumnFormula>SUM(' Student_Retention_Data'!J2:J52)/COUNTA(' Student_Retention_Data'!A2:A51)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L2:L3" totalsRowShown="0" headerRowDxfId="1">
  <autoFilter ref="L2:L3"/>
  <tableColumns count="1">
    <tableColumn id="1" name="KPI 4: Avg Student Lifetime (Months)">
      <calculatedColumnFormula>AVERAGE(' Student_Retention_Data'!I2:I52)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4" name="Table14" displayName="Table14" ref="A1:M8" totalsRowShown="0" headerRowDxfId="0">
  <autoFilter ref="A1:M8"/>
  <tableColumns count="13">
    <tableColumn id="1" name="Center"/>
    <tableColumn id="2" name="Channel"/>
    <tableColumn id="3" name="Visitors"/>
    <tableColumn id="4" name="Enquiries"/>
    <tableColumn id="5" name="  Counselling"/>
    <tableColumn id="6" name="Enrollments"/>
    <tableColumn id="7" name=" Marketing Cost"/>
    <tableColumn id="8" name="Visit → Enquiry %"/>
    <tableColumn id="9" name=" Enquiry → Enrollment %"/>
    <tableColumn id="10" name="Cost per Enrollment"/>
    <tableColumn id="11" name="Column1"/>
    <tableColumn id="12" name="Column2"/>
    <tableColumn id="13" name="Column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5" name="Table15" displayName="Table15" ref="A1:J5" totalsRowShown="0">
  <autoFilter ref="A1:J5"/>
  <tableColumns count="10">
    <tableColumn id="1" name="Center"/>
    <tableColumn id="2" name="Channel"/>
    <tableColumn id="3" name="Visitors"/>
    <tableColumn id="4" name="Enquiries"/>
    <tableColumn id="5" name="  Counselling"/>
    <tableColumn id="6" name="Enrollments"/>
    <tableColumn id="7" name=" Marketing Cost"/>
    <tableColumn id="8" name="Visit → Enquiry %"/>
    <tableColumn id="9" name=" Enquiry → Enrollment %"/>
    <tableColumn id="10" name="Cost per Enroll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7.xml"/><Relationship Id="rId9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35"/>
  <sheetViews>
    <sheetView tabSelected="1" workbookViewId="0">
      <selection activeCell="E16" sqref="E16"/>
    </sheetView>
  </sheetViews>
  <sheetFormatPr defaultRowHeight="15"/>
  <cols>
    <col min="2" max="2" width="9.140625" bestFit="1" customWidth="1"/>
    <col min="3" max="3" width="13.42578125" customWidth="1"/>
    <col min="4" max="4" width="12" customWidth="1"/>
    <col min="5" max="5" width="14.140625" customWidth="1"/>
    <col min="6" max="6" width="15.85546875" customWidth="1"/>
    <col min="7" max="7" width="13" customWidth="1"/>
    <col min="8" max="8" width="17.140625" customWidth="1"/>
    <col min="9" max="9" width="14.140625" customWidth="1"/>
    <col min="10" max="10" width="14" customWidth="1"/>
  </cols>
  <sheetData>
    <row r="1" spans="2:10">
      <c r="B1" s="1" t="s">
        <v>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2:10">
      <c r="B2" s="3">
        <v>45658</v>
      </c>
      <c r="C2" s="3" t="str">
        <f>TEXT(B2, "mmm-yyyy")</f>
        <v>Jan-2025</v>
      </c>
      <c r="D2" t="s">
        <v>9</v>
      </c>
      <c r="E2" t="s">
        <v>12</v>
      </c>
      <c r="F2" t="s">
        <v>14</v>
      </c>
      <c r="G2" t="s">
        <v>15</v>
      </c>
      <c r="H2">
        <v>5</v>
      </c>
      <c r="I2">
        <v>30000</v>
      </c>
      <c r="J2">
        <f>$H2*$I2</f>
        <v>150000</v>
      </c>
    </row>
    <row r="3" spans="2:10">
      <c r="B3" s="3">
        <v>45689</v>
      </c>
      <c r="C3" s="3" t="str">
        <f t="shared" ref="C3:C66" si="0">TEXT(B3, "mmm-yyyy")</f>
        <v>Feb-2025</v>
      </c>
      <c r="D3" t="s">
        <v>10</v>
      </c>
      <c r="E3" t="s">
        <v>13</v>
      </c>
      <c r="F3" t="s">
        <v>14</v>
      </c>
      <c r="G3" t="s">
        <v>15</v>
      </c>
      <c r="H3">
        <v>10</v>
      </c>
      <c r="I3">
        <v>45000</v>
      </c>
      <c r="J3">
        <f t="shared" ref="J3:J13" si="1">$H3*$I3</f>
        <v>450000</v>
      </c>
    </row>
    <row r="4" spans="2:10">
      <c r="B4" s="3">
        <v>45717</v>
      </c>
      <c r="C4" s="3" t="str">
        <f t="shared" si="0"/>
        <v>Mar-2025</v>
      </c>
      <c r="D4" t="s">
        <v>11</v>
      </c>
      <c r="E4" t="s">
        <v>12</v>
      </c>
      <c r="F4" t="s">
        <v>14</v>
      </c>
      <c r="G4" t="s">
        <v>15</v>
      </c>
      <c r="H4">
        <v>15</v>
      </c>
      <c r="I4">
        <v>30000</v>
      </c>
      <c r="J4">
        <f t="shared" si="1"/>
        <v>450000</v>
      </c>
    </row>
    <row r="5" spans="2:10">
      <c r="B5" s="3">
        <v>45748</v>
      </c>
      <c r="C5" s="3" t="str">
        <f t="shared" si="0"/>
        <v>Apr-2025</v>
      </c>
      <c r="D5" t="s">
        <v>9</v>
      </c>
      <c r="E5" t="s">
        <v>13</v>
      </c>
      <c r="F5" t="s">
        <v>14</v>
      </c>
      <c r="G5" t="s">
        <v>15</v>
      </c>
      <c r="H5">
        <v>16</v>
      </c>
      <c r="I5">
        <v>45000</v>
      </c>
      <c r="J5">
        <f t="shared" si="1"/>
        <v>720000</v>
      </c>
    </row>
    <row r="6" spans="2:10">
      <c r="B6" s="3">
        <v>45778</v>
      </c>
      <c r="C6" s="3" t="str">
        <f t="shared" si="0"/>
        <v>May-2025</v>
      </c>
      <c r="D6" t="s">
        <v>10</v>
      </c>
      <c r="E6" t="s">
        <v>12</v>
      </c>
      <c r="F6" t="s">
        <v>14</v>
      </c>
      <c r="G6" t="s">
        <v>15</v>
      </c>
      <c r="H6">
        <v>18</v>
      </c>
      <c r="I6">
        <v>30000</v>
      </c>
      <c r="J6">
        <f t="shared" si="1"/>
        <v>540000</v>
      </c>
    </row>
    <row r="7" spans="2:10">
      <c r="B7" s="3">
        <v>45809</v>
      </c>
      <c r="C7" s="3" t="str">
        <f t="shared" si="0"/>
        <v>Jun-2025</v>
      </c>
      <c r="D7" t="s">
        <v>11</v>
      </c>
      <c r="E7" t="s">
        <v>13</v>
      </c>
      <c r="F7" t="s">
        <v>14</v>
      </c>
      <c r="G7" t="s">
        <v>15</v>
      </c>
      <c r="H7">
        <v>20</v>
      </c>
      <c r="I7">
        <v>45000</v>
      </c>
      <c r="J7">
        <f t="shared" si="1"/>
        <v>900000</v>
      </c>
    </row>
    <row r="8" spans="2:10">
      <c r="B8" s="3">
        <v>45839</v>
      </c>
      <c r="C8" s="3" t="str">
        <f t="shared" si="0"/>
        <v>Jul-2025</v>
      </c>
      <c r="D8" t="s">
        <v>9</v>
      </c>
      <c r="E8" t="s">
        <v>12</v>
      </c>
      <c r="F8" t="s">
        <v>14</v>
      </c>
      <c r="G8" t="s">
        <v>15</v>
      </c>
      <c r="H8">
        <v>25</v>
      </c>
      <c r="I8">
        <v>30000</v>
      </c>
      <c r="J8">
        <f t="shared" si="1"/>
        <v>750000</v>
      </c>
    </row>
    <row r="9" spans="2:10">
      <c r="B9" s="3">
        <v>45870</v>
      </c>
      <c r="C9" s="3" t="str">
        <f t="shared" si="0"/>
        <v>Aug-2025</v>
      </c>
      <c r="D9" t="s">
        <v>10</v>
      </c>
      <c r="E9" t="s">
        <v>13</v>
      </c>
      <c r="F9" t="s">
        <v>14</v>
      </c>
      <c r="G9" t="s">
        <v>15</v>
      </c>
      <c r="H9">
        <v>26</v>
      </c>
      <c r="I9">
        <v>45000</v>
      </c>
      <c r="J9">
        <f t="shared" si="1"/>
        <v>1170000</v>
      </c>
    </row>
    <row r="10" spans="2:10">
      <c r="B10" s="3">
        <v>45901</v>
      </c>
      <c r="C10" s="3" t="str">
        <f t="shared" si="0"/>
        <v>Sep-2025</v>
      </c>
      <c r="D10" t="s">
        <v>11</v>
      </c>
      <c r="E10" t="s">
        <v>12</v>
      </c>
      <c r="F10" t="s">
        <v>14</v>
      </c>
      <c r="G10" t="s">
        <v>15</v>
      </c>
      <c r="H10">
        <v>29</v>
      </c>
      <c r="I10">
        <v>30000</v>
      </c>
      <c r="J10">
        <f t="shared" si="1"/>
        <v>870000</v>
      </c>
    </row>
    <row r="11" spans="2:10">
      <c r="B11" s="3">
        <v>45931</v>
      </c>
      <c r="C11" s="3" t="str">
        <f t="shared" si="0"/>
        <v>Oct-2025</v>
      </c>
      <c r="D11" t="s">
        <v>9</v>
      </c>
      <c r="E11" t="s">
        <v>13</v>
      </c>
      <c r="F11" t="s">
        <v>14</v>
      </c>
      <c r="G11" t="s">
        <v>15</v>
      </c>
      <c r="H11">
        <v>30</v>
      </c>
      <c r="I11">
        <v>45000</v>
      </c>
      <c r="J11">
        <f t="shared" si="1"/>
        <v>1350000</v>
      </c>
    </row>
    <row r="12" spans="2:10">
      <c r="B12" s="3">
        <v>45962</v>
      </c>
      <c r="C12" s="3" t="str">
        <f t="shared" si="0"/>
        <v>Nov-2025</v>
      </c>
      <c r="D12" t="s">
        <v>10</v>
      </c>
      <c r="E12" t="s">
        <v>12</v>
      </c>
      <c r="F12" t="s">
        <v>14</v>
      </c>
      <c r="G12" t="s">
        <v>15</v>
      </c>
      <c r="H12">
        <v>35</v>
      </c>
      <c r="I12">
        <v>30000</v>
      </c>
      <c r="J12">
        <f t="shared" si="1"/>
        <v>1050000</v>
      </c>
    </row>
    <row r="13" spans="2:10">
      <c r="B13" s="3">
        <v>45992</v>
      </c>
      <c r="C13" s="3" t="str">
        <f t="shared" si="0"/>
        <v>Dec-2025</v>
      </c>
      <c r="D13" t="s">
        <v>11</v>
      </c>
      <c r="E13" t="s">
        <v>13</v>
      </c>
      <c r="F13" t="s">
        <v>14</v>
      </c>
      <c r="G13" t="s">
        <v>15</v>
      </c>
      <c r="H13">
        <v>40</v>
      </c>
      <c r="I13">
        <v>45000</v>
      </c>
      <c r="J13">
        <f t="shared" si="1"/>
        <v>1800000</v>
      </c>
    </row>
    <row r="14" spans="2:10">
      <c r="B14" s="3" t="s">
        <v>8</v>
      </c>
      <c r="C14" s="3" t="str">
        <f t="shared" si="0"/>
        <v xml:space="preserve"> </v>
      </c>
      <c r="I14" t="s">
        <v>8</v>
      </c>
    </row>
    <row r="15" spans="2:10">
      <c r="B15" s="3" t="s">
        <v>8</v>
      </c>
      <c r="C15" s="3" t="str">
        <f t="shared" si="0"/>
        <v xml:space="preserve"> </v>
      </c>
    </row>
    <row r="16" spans="2:10">
      <c r="B16" s="3" t="s">
        <v>8</v>
      </c>
      <c r="C16" s="3" t="str">
        <f t="shared" si="0"/>
        <v xml:space="preserve"> </v>
      </c>
    </row>
    <row r="17" spans="2:3">
      <c r="B17" s="3" t="s">
        <v>8</v>
      </c>
      <c r="C17" s="3" t="str">
        <f t="shared" si="0"/>
        <v xml:space="preserve"> </v>
      </c>
    </row>
    <row r="18" spans="2:3">
      <c r="B18" s="3" t="s">
        <v>8</v>
      </c>
      <c r="C18" s="3" t="str">
        <f t="shared" si="0"/>
        <v xml:space="preserve"> </v>
      </c>
    </row>
    <row r="19" spans="2:3">
      <c r="B19" s="3" t="s">
        <v>8</v>
      </c>
      <c r="C19" s="3" t="str">
        <f t="shared" si="0"/>
        <v xml:space="preserve"> </v>
      </c>
    </row>
    <row r="20" spans="2:3">
      <c r="B20" s="3" t="s">
        <v>8</v>
      </c>
      <c r="C20" s="3" t="str">
        <f t="shared" si="0"/>
        <v xml:space="preserve"> </v>
      </c>
    </row>
    <row r="21" spans="2:3">
      <c r="B21" s="3" t="s">
        <v>8</v>
      </c>
      <c r="C21" s="3" t="str">
        <f t="shared" si="0"/>
        <v xml:space="preserve"> </v>
      </c>
    </row>
    <row r="22" spans="2:3">
      <c r="B22" s="3" t="s">
        <v>8</v>
      </c>
      <c r="C22" s="3" t="str">
        <f t="shared" si="0"/>
        <v xml:space="preserve"> </v>
      </c>
    </row>
    <row r="23" spans="2:3">
      <c r="B23" s="3" t="s">
        <v>8</v>
      </c>
      <c r="C23" s="3" t="str">
        <f t="shared" si="0"/>
        <v xml:space="preserve"> </v>
      </c>
    </row>
    <row r="24" spans="2:3">
      <c r="B24" s="3" t="s">
        <v>8</v>
      </c>
      <c r="C24" s="3" t="str">
        <f t="shared" si="0"/>
        <v xml:space="preserve"> </v>
      </c>
    </row>
    <row r="25" spans="2:3">
      <c r="B25" s="3" t="s">
        <v>8</v>
      </c>
      <c r="C25" s="3" t="str">
        <f t="shared" si="0"/>
        <v xml:space="preserve"> </v>
      </c>
    </row>
    <row r="26" spans="2:3">
      <c r="B26" s="3" t="s">
        <v>8</v>
      </c>
      <c r="C26" s="3" t="str">
        <f t="shared" si="0"/>
        <v xml:space="preserve"> </v>
      </c>
    </row>
    <row r="27" spans="2:3">
      <c r="B27" s="3" t="s">
        <v>8</v>
      </c>
      <c r="C27" s="3" t="str">
        <f t="shared" si="0"/>
        <v xml:space="preserve"> </v>
      </c>
    </row>
    <row r="28" spans="2:3">
      <c r="B28" s="3" t="s">
        <v>8</v>
      </c>
      <c r="C28" s="3" t="str">
        <f t="shared" si="0"/>
        <v xml:space="preserve"> </v>
      </c>
    </row>
    <row r="29" spans="2:3">
      <c r="B29" s="3" t="s">
        <v>8</v>
      </c>
      <c r="C29" s="3" t="str">
        <f t="shared" si="0"/>
        <v xml:space="preserve"> </v>
      </c>
    </row>
    <row r="30" spans="2:3">
      <c r="B30" s="3" t="s">
        <v>8</v>
      </c>
      <c r="C30" s="3" t="str">
        <f t="shared" si="0"/>
        <v xml:space="preserve"> </v>
      </c>
    </row>
    <row r="31" spans="2:3">
      <c r="B31" s="3" t="s">
        <v>8</v>
      </c>
      <c r="C31" s="3" t="str">
        <f t="shared" si="0"/>
        <v xml:space="preserve"> </v>
      </c>
    </row>
    <row r="32" spans="2:3">
      <c r="B32" s="3" t="s">
        <v>8</v>
      </c>
      <c r="C32" s="3" t="str">
        <f t="shared" si="0"/>
        <v xml:space="preserve"> </v>
      </c>
    </row>
    <row r="33" spans="2:3">
      <c r="B33" s="3" t="s">
        <v>8</v>
      </c>
      <c r="C33" s="3" t="str">
        <f t="shared" si="0"/>
        <v xml:space="preserve"> </v>
      </c>
    </row>
    <row r="34" spans="2:3">
      <c r="B34" s="3" t="s">
        <v>8</v>
      </c>
      <c r="C34" s="3" t="str">
        <f t="shared" si="0"/>
        <v xml:space="preserve"> </v>
      </c>
    </row>
    <row r="35" spans="2:3">
      <c r="B35" s="3" t="s">
        <v>8</v>
      </c>
      <c r="C35" s="3" t="str">
        <f t="shared" si="0"/>
        <v xml:space="preserve"> </v>
      </c>
    </row>
    <row r="36" spans="2:3">
      <c r="B36" s="3" t="s">
        <v>8</v>
      </c>
      <c r="C36" s="3" t="str">
        <f t="shared" si="0"/>
        <v xml:space="preserve"> </v>
      </c>
    </row>
    <row r="37" spans="2:3">
      <c r="B37" s="3" t="s">
        <v>8</v>
      </c>
      <c r="C37" s="3" t="str">
        <f t="shared" si="0"/>
        <v xml:space="preserve"> </v>
      </c>
    </row>
    <row r="38" spans="2:3">
      <c r="B38" s="3" t="s">
        <v>8</v>
      </c>
      <c r="C38" s="3" t="str">
        <f t="shared" si="0"/>
        <v xml:space="preserve"> </v>
      </c>
    </row>
    <row r="39" spans="2:3">
      <c r="B39" s="3" t="s">
        <v>8</v>
      </c>
      <c r="C39" s="3" t="str">
        <f t="shared" si="0"/>
        <v xml:space="preserve"> </v>
      </c>
    </row>
    <row r="40" spans="2:3">
      <c r="B40" s="3" t="s">
        <v>8</v>
      </c>
      <c r="C40" s="3" t="str">
        <f t="shared" si="0"/>
        <v xml:space="preserve"> </v>
      </c>
    </row>
    <row r="41" spans="2:3">
      <c r="B41" s="3" t="s">
        <v>8</v>
      </c>
      <c r="C41" s="3" t="str">
        <f t="shared" si="0"/>
        <v xml:space="preserve"> </v>
      </c>
    </row>
    <row r="42" spans="2:3">
      <c r="B42" s="3" t="s">
        <v>8</v>
      </c>
      <c r="C42" s="3" t="str">
        <f t="shared" si="0"/>
        <v xml:space="preserve"> </v>
      </c>
    </row>
    <row r="43" spans="2:3">
      <c r="B43" s="3" t="s">
        <v>8</v>
      </c>
      <c r="C43" s="3" t="str">
        <f t="shared" si="0"/>
        <v xml:space="preserve"> </v>
      </c>
    </row>
    <row r="44" spans="2:3">
      <c r="B44" s="3" t="s">
        <v>8</v>
      </c>
      <c r="C44" s="3" t="str">
        <f t="shared" si="0"/>
        <v xml:space="preserve"> </v>
      </c>
    </row>
    <row r="45" spans="2:3">
      <c r="B45" s="3" t="s">
        <v>8</v>
      </c>
      <c r="C45" s="3" t="str">
        <f t="shared" si="0"/>
        <v xml:space="preserve"> </v>
      </c>
    </row>
    <row r="46" spans="2:3">
      <c r="B46" s="3" t="s">
        <v>8</v>
      </c>
      <c r="C46" s="3" t="str">
        <f t="shared" si="0"/>
        <v xml:space="preserve"> </v>
      </c>
    </row>
    <row r="47" spans="2:3">
      <c r="B47" s="3" t="s">
        <v>8</v>
      </c>
      <c r="C47" s="3" t="str">
        <f t="shared" si="0"/>
        <v xml:space="preserve"> </v>
      </c>
    </row>
    <row r="48" spans="2:3">
      <c r="B48" s="3" t="s">
        <v>8</v>
      </c>
      <c r="C48" s="3" t="str">
        <f t="shared" si="0"/>
        <v xml:space="preserve"> </v>
      </c>
    </row>
    <row r="49" spans="2:3">
      <c r="B49" s="3" t="s">
        <v>8</v>
      </c>
      <c r="C49" s="3" t="str">
        <f t="shared" si="0"/>
        <v xml:space="preserve"> </v>
      </c>
    </row>
    <row r="50" spans="2:3">
      <c r="B50" s="3" t="s">
        <v>8</v>
      </c>
      <c r="C50" s="3" t="str">
        <f t="shared" si="0"/>
        <v xml:space="preserve"> </v>
      </c>
    </row>
    <row r="51" spans="2:3">
      <c r="B51" s="3" t="s">
        <v>8</v>
      </c>
      <c r="C51" s="3" t="str">
        <f t="shared" si="0"/>
        <v xml:space="preserve"> </v>
      </c>
    </row>
    <row r="52" spans="2:3">
      <c r="B52" s="3" t="s">
        <v>8</v>
      </c>
      <c r="C52" s="3" t="str">
        <f t="shared" si="0"/>
        <v xml:space="preserve"> </v>
      </c>
    </row>
    <row r="53" spans="2:3">
      <c r="B53" s="3" t="s">
        <v>8</v>
      </c>
      <c r="C53" s="3" t="str">
        <f t="shared" si="0"/>
        <v xml:space="preserve"> </v>
      </c>
    </row>
    <row r="54" spans="2:3">
      <c r="B54" s="3" t="s">
        <v>8</v>
      </c>
      <c r="C54" s="3" t="str">
        <f t="shared" si="0"/>
        <v xml:space="preserve"> </v>
      </c>
    </row>
    <row r="55" spans="2:3">
      <c r="B55" s="3" t="s">
        <v>8</v>
      </c>
      <c r="C55" s="3" t="str">
        <f t="shared" si="0"/>
        <v xml:space="preserve"> </v>
      </c>
    </row>
    <row r="56" spans="2:3">
      <c r="B56" s="3" t="s">
        <v>8</v>
      </c>
      <c r="C56" s="3" t="str">
        <f t="shared" si="0"/>
        <v xml:space="preserve"> </v>
      </c>
    </row>
    <row r="57" spans="2:3">
      <c r="B57" s="3" t="s">
        <v>8</v>
      </c>
      <c r="C57" s="3" t="str">
        <f t="shared" si="0"/>
        <v xml:space="preserve"> </v>
      </c>
    </row>
    <row r="58" spans="2:3">
      <c r="B58" s="3" t="s">
        <v>8</v>
      </c>
      <c r="C58" s="3" t="str">
        <f t="shared" si="0"/>
        <v xml:space="preserve"> </v>
      </c>
    </row>
    <row r="59" spans="2:3">
      <c r="B59" s="3" t="s">
        <v>8</v>
      </c>
      <c r="C59" s="3" t="str">
        <f t="shared" si="0"/>
        <v xml:space="preserve"> </v>
      </c>
    </row>
    <row r="60" spans="2:3">
      <c r="B60" s="3" t="s">
        <v>8</v>
      </c>
      <c r="C60" s="3" t="str">
        <f t="shared" si="0"/>
        <v xml:space="preserve"> </v>
      </c>
    </row>
    <row r="61" spans="2:3">
      <c r="B61" s="3" t="s">
        <v>8</v>
      </c>
      <c r="C61" s="3" t="str">
        <f t="shared" si="0"/>
        <v xml:space="preserve"> </v>
      </c>
    </row>
    <row r="62" spans="2:3">
      <c r="B62" s="3" t="s">
        <v>8</v>
      </c>
      <c r="C62" s="3" t="str">
        <f t="shared" si="0"/>
        <v xml:space="preserve"> </v>
      </c>
    </row>
    <row r="63" spans="2:3">
      <c r="B63" s="3" t="s">
        <v>8</v>
      </c>
      <c r="C63" s="3" t="str">
        <f t="shared" si="0"/>
        <v xml:space="preserve"> </v>
      </c>
    </row>
    <row r="64" spans="2:3">
      <c r="B64" s="3" t="s">
        <v>8</v>
      </c>
      <c r="C64" s="3" t="str">
        <f t="shared" si="0"/>
        <v xml:space="preserve"> </v>
      </c>
    </row>
    <row r="65" spans="2:3">
      <c r="B65" s="3" t="s">
        <v>8</v>
      </c>
      <c r="C65" s="3" t="str">
        <f t="shared" si="0"/>
        <v xml:space="preserve"> </v>
      </c>
    </row>
    <row r="66" spans="2:3">
      <c r="B66" s="3" t="s">
        <v>8</v>
      </c>
      <c r="C66" s="3" t="str">
        <f t="shared" si="0"/>
        <v xml:space="preserve"> </v>
      </c>
    </row>
    <row r="67" spans="2:3">
      <c r="B67" s="3" t="s">
        <v>8</v>
      </c>
      <c r="C67" s="3" t="str">
        <f t="shared" ref="C67:C130" si="2">TEXT(B67, "mmm-yyyy")</f>
        <v xml:space="preserve"> </v>
      </c>
    </row>
    <row r="68" spans="2:3">
      <c r="B68" s="3" t="s">
        <v>8</v>
      </c>
      <c r="C68" s="3" t="str">
        <f t="shared" si="2"/>
        <v xml:space="preserve"> </v>
      </c>
    </row>
    <row r="69" spans="2:3">
      <c r="B69" s="3" t="s">
        <v>8</v>
      </c>
      <c r="C69" s="3" t="str">
        <f t="shared" si="2"/>
        <v xml:space="preserve"> </v>
      </c>
    </row>
    <row r="70" spans="2:3">
      <c r="B70" s="3" t="s">
        <v>8</v>
      </c>
      <c r="C70" s="3" t="str">
        <f t="shared" si="2"/>
        <v xml:space="preserve"> </v>
      </c>
    </row>
    <row r="71" spans="2:3">
      <c r="B71" s="3" t="s">
        <v>8</v>
      </c>
      <c r="C71" s="3" t="str">
        <f t="shared" si="2"/>
        <v xml:space="preserve"> </v>
      </c>
    </row>
    <row r="72" spans="2:3">
      <c r="B72" s="3" t="s">
        <v>8</v>
      </c>
      <c r="C72" s="3" t="str">
        <f t="shared" si="2"/>
        <v xml:space="preserve"> </v>
      </c>
    </row>
    <row r="73" spans="2:3">
      <c r="B73" s="3" t="s">
        <v>8</v>
      </c>
      <c r="C73" s="3" t="str">
        <f t="shared" si="2"/>
        <v xml:space="preserve"> </v>
      </c>
    </row>
    <row r="74" spans="2:3">
      <c r="B74" s="3" t="s">
        <v>8</v>
      </c>
      <c r="C74" s="3" t="str">
        <f t="shared" si="2"/>
        <v xml:space="preserve"> </v>
      </c>
    </row>
    <row r="75" spans="2:3">
      <c r="B75" s="3" t="s">
        <v>8</v>
      </c>
      <c r="C75" s="3" t="str">
        <f t="shared" si="2"/>
        <v xml:space="preserve"> </v>
      </c>
    </row>
    <row r="76" spans="2:3">
      <c r="B76" s="3" t="s">
        <v>8</v>
      </c>
      <c r="C76" s="3" t="str">
        <f t="shared" si="2"/>
        <v xml:space="preserve"> </v>
      </c>
    </row>
    <row r="77" spans="2:3">
      <c r="B77" s="3" t="s">
        <v>8</v>
      </c>
      <c r="C77" s="3" t="str">
        <f t="shared" si="2"/>
        <v xml:space="preserve"> </v>
      </c>
    </row>
    <row r="78" spans="2:3">
      <c r="B78" s="3" t="s">
        <v>8</v>
      </c>
      <c r="C78" s="3" t="str">
        <f t="shared" si="2"/>
        <v xml:space="preserve"> </v>
      </c>
    </row>
    <row r="79" spans="2:3">
      <c r="B79" s="3" t="s">
        <v>8</v>
      </c>
      <c r="C79" s="3" t="str">
        <f t="shared" si="2"/>
        <v xml:space="preserve"> </v>
      </c>
    </row>
    <row r="80" spans="2:3">
      <c r="B80" s="3" t="s">
        <v>8</v>
      </c>
      <c r="C80" s="3" t="str">
        <f t="shared" si="2"/>
        <v xml:space="preserve"> </v>
      </c>
    </row>
    <row r="81" spans="2:3">
      <c r="B81" s="3" t="s">
        <v>8</v>
      </c>
      <c r="C81" s="3" t="str">
        <f t="shared" si="2"/>
        <v xml:space="preserve"> </v>
      </c>
    </row>
    <row r="82" spans="2:3">
      <c r="B82" s="3" t="s">
        <v>8</v>
      </c>
      <c r="C82" s="3" t="str">
        <f t="shared" si="2"/>
        <v xml:space="preserve"> </v>
      </c>
    </row>
    <row r="83" spans="2:3">
      <c r="B83" s="3" t="s">
        <v>8</v>
      </c>
      <c r="C83" s="3" t="str">
        <f t="shared" si="2"/>
        <v xml:space="preserve"> </v>
      </c>
    </row>
    <row r="84" spans="2:3">
      <c r="B84" s="3" t="s">
        <v>8</v>
      </c>
      <c r="C84" s="3" t="str">
        <f t="shared" si="2"/>
        <v xml:space="preserve"> </v>
      </c>
    </row>
    <row r="85" spans="2:3">
      <c r="B85" s="3" t="s">
        <v>8</v>
      </c>
      <c r="C85" s="3" t="str">
        <f t="shared" si="2"/>
        <v xml:space="preserve"> </v>
      </c>
    </row>
    <row r="86" spans="2:3">
      <c r="B86" s="3" t="s">
        <v>8</v>
      </c>
      <c r="C86" s="3" t="str">
        <f t="shared" si="2"/>
        <v xml:space="preserve"> </v>
      </c>
    </row>
    <row r="87" spans="2:3">
      <c r="B87" s="3" t="s">
        <v>8</v>
      </c>
      <c r="C87" s="3" t="str">
        <f t="shared" si="2"/>
        <v xml:space="preserve"> </v>
      </c>
    </row>
    <row r="88" spans="2:3">
      <c r="B88" s="3" t="s">
        <v>8</v>
      </c>
      <c r="C88" s="3" t="str">
        <f t="shared" si="2"/>
        <v xml:space="preserve"> </v>
      </c>
    </row>
    <row r="89" spans="2:3">
      <c r="B89" s="3" t="s">
        <v>8</v>
      </c>
      <c r="C89" s="3" t="str">
        <f t="shared" si="2"/>
        <v xml:space="preserve"> </v>
      </c>
    </row>
    <row r="90" spans="2:3">
      <c r="B90" s="3" t="s">
        <v>8</v>
      </c>
      <c r="C90" s="3" t="str">
        <f t="shared" si="2"/>
        <v xml:space="preserve"> </v>
      </c>
    </row>
    <row r="91" spans="2:3">
      <c r="B91" s="3" t="s">
        <v>8</v>
      </c>
      <c r="C91" s="3" t="str">
        <f t="shared" si="2"/>
        <v xml:space="preserve"> </v>
      </c>
    </row>
    <row r="92" spans="2:3">
      <c r="B92" s="3" t="s">
        <v>8</v>
      </c>
      <c r="C92" s="3" t="str">
        <f t="shared" si="2"/>
        <v xml:space="preserve"> </v>
      </c>
    </row>
    <row r="93" spans="2:3">
      <c r="B93" s="3" t="s">
        <v>8</v>
      </c>
      <c r="C93" s="3" t="str">
        <f t="shared" si="2"/>
        <v xml:space="preserve"> </v>
      </c>
    </row>
    <row r="94" spans="2:3">
      <c r="B94" s="3" t="s">
        <v>8</v>
      </c>
      <c r="C94" s="3" t="str">
        <f t="shared" si="2"/>
        <v xml:space="preserve"> </v>
      </c>
    </row>
    <row r="95" spans="2:3">
      <c r="B95" s="3" t="s">
        <v>8</v>
      </c>
      <c r="C95" s="3" t="str">
        <f t="shared" si="2"/>
        <v xml:space="preserve"> </v>
      </c>
    </row>
    <row r="96" spans="2:3">
      <c r="B96" s="3" t="s">
        <v>8</v>
      </c>
      <c r="C96" s="3" t="str">
        <f t="shared" si="2"/>
        <v xml:space="preserve"> </v>
      </c>
    </row>
    <row r="97" spans="2:3">
      <c r="B97" s="3" t="s">
        <v>8</v>
      </c>
      <c r="C97" s="3" t="str">
        <f t="shared" si="2"/>
        <v xml:space="preserve"> </v>
      </c>
    </row>
    <row r="98" spans="2:3">
      <c r="B98" s="3" t="s">
        <v>8</v>
      </c>
      <c r="C98" s="3" t="str">
        <f t="shared" si="2"/>
        <v xml:space="preserve"> </v>
      </c>
    </row>
    <row r="99" spans="2:3">
      <c r="B99" s="3" t="s">
        <v>8</v>
      </c>
      <c r="C99" s="3" t="str">
        <f t="shared" si="2"/>
        <v xml:space="preserve"> </v>
      </c>
    </row>
    <row r="100" spans="2:3">
      <c r="B100" s="3" t="s">
        <v>8</v>
      </c>
      <c r="C100" s="3" t="str">
        <f t="shared" si="2"/>
        <v xml:space="preserve"> </v>
      </c>
    </row>
    <row r="101" spans="2:3">
      <c r="B101" s="3" t="s">
        <v>8</v>
      </c>
      <c r="C101" s="3" t="str">
        <f t="shared" si="2"/>
        <v xml:space="preserve"> </v>
      </c>
    </row>
    <row r="102" spans="2:3">
      <c r="B102" s="3" t="s">
        <v>8</v>
      </c>
      <c r="C102" s="3" t="str">
        <f t="shared" si="2"/>
        <v xml:space="preserve"> </v>
      </c>
    </row>
    <row r="103" spans="2:3">
      <c r="B103" s="3" t="s">
        <v>8</v>
      </c>
      <c r="C103" s="3" t="str">
        <f t="shared" si="2"/>
        <v xml:space="preserve"> </v>
      </c>
    </row>
    <row r="104" spans="2:3">
      <c r="B104" s="3" t="s">
        <v>8</v>
      </c>
      <c r="C104" s="3" t="str">
        <f t="shared" si="2"/>
        <v xml:space="preserve"> </v>
      </c>
    </row>
    <row r="105" spans="2:3">
      <c r="B105" s="3" t="s">
        <v>8</v>
      </c>
      <c r="C105" s="3" t="str">
        <f t="shared" si="2"/>
        <v xml:space="preserve"> </v>
      </c>
    </row>
    <row r="106" spans="2:3">
      <c r="B106" s="3" t="s">
        <v>8</v>
      </c>
      <c r="C106" s="3" t="str">
        <f t="shared" si="2"/>
        <v xml:space="preserve"> </v>
      </c>
    </row>
    <row r="107" spans="2:3">
      <c r="B107" s="3" t="s">
        <v>8</v>
      </c>
      <c r="C107" s="3" t="str">
        <f t="shared" si="2"/>
        <v xml:space="preserve"> </v>
      </c>
    </row>
    <row r="108" spans="2:3">
      <c r="B108" s="3" t="s">
        <v>8</v>
      </c>
      <c r="C108" s="3" t="str">
        <f t="shared" si="2"/>
        <v xml:space="preserve"> </v>
      </c>
    </row>
    <row r="109" spans="2:3">
      <c r="B109" s="3" t="s">
        <v>8</v>
      </c>
      <c r="C109" s="3" t="str">
        <f t="shared" si="2"/>
        <v xml:space="preserve"> </v>
      </c>
    </row>
    <row r="110" spans="2:3">
      <c r="B110" s="3" t="s">
        <v>8</v>
      </c>
      <c r="C110" s="3" t="str">
        <f t="shared" si="2"/>
        <v xml:space="preserve"> </v>
      </c>
    </row>
    <row r="111" spans="2:3">
      <c r="B111" s="3" t="s">
        <v>8</v>
      </c>
      <c r="C111" s="3" t="str">
        <f t="shared" si="2"/>
        <v xml:space="preserve"> </v>
      </c>
    </row>
    <row r="112" spans="2:3">
      <c r="B112" s="3" t="s">
        <v>8</v>
      </c>
      <c r="C112" s="3" t="str">
        <f t="shared" si="2"/>
        <v xml:space="preserve"> </v>
      </c>
    </row>
    <row r="113" spans="2:3">
      <c r="B113" s="3" t="s">
        <v>8</v>
      </c>
      <c r="C113" s="3" t="str">
        <f t="shared" si="2"/>
        <v xml:space="preserve"> </v>
      </c>
    </row>
    <row r="114" spans="2:3">
      <c r="B114" s="3" t="s">
        <v>8</v>
      </c>
      <c r="C114" s="3" t="str">
        <f t="shared" si="2"/>
        <v xml:space="preserve"> </v>
      </c>
    </row>
    <row r="115" spans="2:3">
      <c r="B115" s="3" t="s">
        <v>8</v>
      </c>
      <c r="C115" s="3" t="str">
        <f t="shared" si="2"/>
        <v xml:space="preserve"> </v>
      </c>
    </row>
    <row r="116" spans="2:3">
      <c r="B116" s="3" t="s">
        <v>8</v>
      </c>
      <c r="C116" s="3" t="str">
        <f t="shared" si="2"/>
        <v xml:space="preserve"> </v>
      </c>
    </row>
    <row r="117" spans="2:3">
      <c r="B117" s="3" t="s">
        <v>8</v>
      </c>
      <c r="C117" s="3" t="str">
        <f t="shared" si="2"/>
        <v xml:space="preserve"> </v>
      </c>
    </row>
    <row r="118" spans="2:3">
      <c r="B118" s="3" t="s">
        <v>8</v>
      </c>
      <c r="C118" s="3" t="str">
        <f t="shared" si="2"/>
        <v xml:space="preserve"> </v>
      </c>
    </row>
    <row r="119" spans="2:3">
      <c r="B119" s="3" t="s">
        <v>8</v>
      </c>
      <c r="C119" s="3" t="str">
        <f t="shared" si="2"/>
        <v xml:space="preserve"> </v>
      </c>
    </row>
    <row r="120" spans="2:3">
      <c r="B120" s="3" t="s">
        <v>8</v>
      </c>
      <c r="C120" s="3" t="str">
        <f t="shared" si="2"/>
        <v xml:space="preserve"> </v>
      </c>
    </row>
    <row r="121" spans="2:3">
      <c r="B121" s="3" t="s">
        <v>8</v>
      </c>
      <c r="C121" s="3" t="str">
        <f t="shared" si="2"/>
        <v xml:space="preserve"> </v>
      </c>
    </row>
    <row r="122" spans="2:3">
      <c r="B122" s="3" t="s">
        <v>8</v>
      </c>
      <c r="C122" s="3" t="str">
        <f t="shared" si="2"/>
        <v xml:space="preserve"> </v>
      </c>
    </row>
    <row r="123" spans="2:3">
      <c r="B123" s="3" t="s">
        <v>8</v>
      </c>
      <c r="C123" s="3" t="str">
        <f t="shared" si="2"/>
        <v xml:space="preserve"> </v>
      </c>
    </row>
    <row r="124" spans="2:3">
      <c r="B124" s="3" t="s">
        <v>8</v>
      </c>
      <c r="C124" s="3" t="str">
        <f t="shared" si="2"/>
        <v xml:space="preserve"> </v>
      </c>
    </row>
    <row r="125" spans="2:3">
      <c r="B125" s="3" t="s">
        <v>8</v>
      </c>
      <c r="C125" s="3" t="str">
        <f t="shared" si="2"/>
        <v xml:space="preserve"> </v>
      </c>
    </row>
    <row r="126" spans="2:3">
      <c r="B126" s="3" t="s">
        <v>8</v>
      </c>
      <c r="C126" s="3" t="str">
        <f t="shared" si="2"/>
        <v xml:space="preserve"> </v>
      </c>
    </row>
    <row r="127" spans="2:3">
      <c r="B127" s="3" t="s">
        <v>8</v>
      </c>
      <c r="C127" s="3" t="str">
        <f t="shared" si="2"/>
        <v xml:space="preserve"> </v>
      </c>
    </row>
    <row r="128" spans="2:3">
      <c r="B128" s="3" t="s">
        <v>8</v>
      </c>
      <c r="C128" s="3" t="str">
        <f t="shared" si="2"/>
        <v xml:space="preserve"> </v>
      </c>
    </row>
    <row r="129" spans="2:3">
      <c r="B129" s="3" t="s">
        <v>8</v>
      </c>
      <c r="C129" s="3" t="str">
        <f t="shared" si="2"/>
        <v xml:space="preserve"> </v>
      </c>
    </row>
    <row r="130" spans="2:3">
      <c r="B130" s="3" t="s">
        <v>8</v>
      </c>
      <c r="C130" s="3" t="str">
        <f t="shared" si="2"/>
        <v xml:space="preserve"> </v>
      </c>
    </row>
    <row r="131" spans="2:3">
      <c r="B131" s="3" t="s">
        <v>8</v>
      </c>
      <c r="C131" s="3" t="str">
        <f t="shared" ref="C131:C194" si="3">TEXT(B131, "mmm-yyyy")</f>
        <v xml:space="preserve"> </v>
      </c>
    </row>
    <row r="132" spans="2:3">
      <c r="B132" s="3" t="s">
        <v>8</v>
      </c>
      <c r="C132" s="3" t="str">
        <f t="shared" si="3"/>
        <v xml:space="preserve"> </v>
      </c>
    </row>
    <row r="133" spans="2:3">
      <c r="B133" s="3" t="s">
        <v>8</v>
      </c>
      <c r="C133" s="3" t="str">
        <f t="shared" si="3"/>
        <v xml:space="preserve"> </v>
      </c>
    </row>
    <row r="134" spans="2:3">
      <c r="B134" s="3" t="s">
        <v>8</v>
      </c>
      <c r="C134" s="3" t="str">
        <f t="shared" si="3"/>
        <v xml:space="preserve"> </v>
      </c>
    </row>
    <row r="135" spans="2:3">
      <c r="B135" s="3" t="s">
        <v>8</v>
      </c>
      <c r="C135" s="3" t="str">
        <f t="shared" si="3"/>
        <v xml:space="preserve"> </v>
      </c>
    </row>
    <row r="136" spans="2:3">
      <c r="B136" s="3" t="s">
        <v>8</v>
      </c>
      <c r="C136" s="3" t="str">
        <f t="shared" si="3"/>
        <v xml:space="preserve"> </v>
      </c>
    </row>
    <row r="137" spans="2:3">
      <c r="B137" s="3" t="s">
        <v>8</v>
      </c>
      <c r="C137" s="3" t="str">
        <f t="shared" si="3"/>
        <v xml:space="preserve"> </v>
      </c>
    </row>
    <row r="138" spans="2:3">
      <c r="B138" s="3" t="s">
        <v>8</v>
      </c>
      <c r="C138" s="3" t="str">
        <f t="shared" si="3"/>
        <v xml:space="preserve"> </v>
      </c>
    </row>
    <row r="139" spans="2:3">
      <c r="B139" s="3" t="s">
        <v>8</v>
      </c>
      <c r="C139" s="3" t="str">
        <f t="shared" si="3"/>
        <v xml:space="preserve"> </v>
      </c>
    </row>
    <row r="140" spans="2:3">
      <c r="B140" s="3" t="s">
        <v>8</v>
      </c>
      <c r="C140" s="3" t="str">
        <f t="shared" si="3"/>
        <v xml:space="preserve"> </v>
      </c>
    </row>
    <row r="141" spans="2:3">
      <c r="B141" s="3" t="s">
        <v>8</v>
      </c>
      <c r="C141" s="3" t="str">
        <f t="shared" si="3"/>
        <v xml:space="preserve"> </v>
      </c>
    </row>
    <row r="142" spans="2:3">
      <c r="B142" s="3" t="s">
        <v>8</v>
      </c>
      <c r="C142" s="3" t="str">
        <f t="shared" si="3"/>
        <v xml:space="preserve"> </v>
      </c>
    </row>
    <row r="143" spans="2:3">
      <c r="B143" s="3" t="s">
        <v>8</v>
      </c>
      <c r="C143" s="3" t="str">
        <f t="shared" si="3"/>
        <v xml:space="preserve"> </v>
      </c>
    </row>
    <row r="144" spans="2:3">
      <c r="B144" s="3" t="s">
        <v>8</v>
      </c>
      <c r="C144" s="3" t="str">
        <f t="shared" si="3"/>
        <v xml:space="preserve"> </v>
      </c>
    </row>
    <row r="145" spans="2:3">
      <c r="B145" s="3" t="s">
        <v>8</v>
      </c>
      <c r="C145" s="3" t="str">
        <f t="shared" si="3"/>
        <v xml:space="preserve"> </v>
      </c>
    </row>
    <row r="146" spans="2:3">
      <c r="B146" s="3" t="s">
        <v>8</v>
      </c>
      <c r="C146" s="3" t="str">
        <f t="shared" si="3"/>
        <v xml:space="preserve"> </v>
      </c>
    </row>
    <row r="147" spans="2:3">
      <c r="B147" s="3" t="s">
        <v>8</v>
      </c>
      <c r="C147" s="3" t="str">
        <f t="shared" si="3"/>
        <v xml:space="preserve"> </v>
      </c>
    </row>
    <row r="148" spans="2:3">
      <c r="B148" s="3" t="s">
        <v>8</v>
      </c>
      <c r="C148" s="3" t="str">
        <f t="shared" si="3"/>
        <v xml:space="preserve"> </v>
      </c>
    </row>
    <row r="149" spans="2:3">
      <c r="B149" s="3" t="s">
        <v>8</v>
      </c>
      <c r="C149" s="3" t="str">
        <f t="shared" si="3"/>
        <v xml:space="preserve"> </v>
      </c>
    </row>
    <row r="150" spans="2:3">
      <c r="B150" s="3" t="s">
        <v>8</v>
      </c>
      <c r="C150" s="3" t="str">
        <f t="shared" si="3"/>
        <v xml:space="preserve"> </v>
      </c>
    </row>
    <row r="151" spans="2:3">
      <c r="B151" s="3" t="s">
        <v>8</v>
      </c>
      <c r="C151" s="3" t="str">
        <f t="shared" si="3"/>
        <v xml:space="preserve"> </v>
      </c>
    </row>
    <row r="152" spans="2:3">
      <c r="B152" s="3" t="s">
        <v>8</v>
      </c>
      <c r="C152" s="3" t="str">
        <f t="shared" si="3"/>
        <v xml:space="preserve"> </v>
      </c>
    </row>
    <row r="153" spans="2:3">
      <c r="B153" s="3" t="s">
        <v>8</v>
      </c>
      <c r="C153" s="3" t="str">
        <f t="shared" si="3"/>
        <v xml:space="preserve"> </v>
      </c>
    </row>
    <row r="154" spans="2:3">
      <c r="B154" s="3" t="s">
        <v>8</v>
      </c>
      <c r="C154" s="3" t="str">
        <f t="shared" si="3"/>
        <v xml:space="preserve"> </v>
      </c>
    </row>
    <row r="155" spans="2:3">
      <c r="B155" s="3" t="s">
        <v>8</v>
      </c>
      <c r="C155" s="3" t="str">
        <f t="shared" si="3"/>
        <v xml:space="preserve"> </v>
      </c>
    </row>
    <row r="156" spans="2:3">
      <c r="B156" s="3" t="s">
        <v>8</v>
      </c>
      <c r="C156" s="3" t="str">
        <f t="shared" si="3"/>
        <v xml:space="preserve"> </v>
      </c>
    </row>
    <row r="157" spans="2:3">
      <c r="B157" s="3" t="s">
        <v>8</v>
      </c>
      <c r="C157" s="3" t="str">
        <f t="shared" si="3"/>
        <v xml:space="preserve"> </v>
      </c>
    </row>
    <row r="158" spans="2:3">
      <c r="B158" s="3" t="s">
        <v>8</v>
      </c>
      <c r="C158" s="3" t="str">
        <f t="shared" si="3"/>
        <v xml:space="preserve"> </v>
      </c>
    </row>
    <row r="159" spans="2:3">
      <c r="B159" s="3" t="s">
        <v>8</v>
      </c>
      <c r="C159" s="3" t="str">
        <f t="shared" si="3"/>
        <v xml:space="preserve"> </v>
      </c>
    </row>
    <row r="160" spans="2:3">
      <c r="B160" s="3" t="s">
        <v>8</v>
      </c>
      <c r="C160" s="3" t="str">
        <f t="shared" si="3"/>
        <v xml:space="preserve"> </v>
      </c>
    </row>
    <row r="161" spans="2:3">
      <c r="B161" s="3" t="s">
        <v>8</v>
      </c>
      <c r="C161" s="3" t="str">
        <f t="shared" si="3"/>
        <v xml:space="preserve"> </v>
      </c>
    </row>
    <row r="162" spans="2:3">
      <c r="B162" s="3" t="s">
        <v>8</v>
      </c>
      <c r="C162" s="3" t="str">
        <f t="shared" si="3"/>
        <v xml:space="preserve"> </v>
      </c>
    </row>
    <row r="163" spans="2:3">
      <c r="B163" s="3" t="s">
        <v>8</v>
      </c>
      <c r="C163" s="3" t="str">
        <f t="shared" si="3"/>
        <v xml:space="preserve"> </v>
      </c>
    </row>
    <row r="164" spans="2:3">
      <c r="B164" s="3" t="s">
        <v>8</v>
      </c>
      <c r="C164" s="3" t="str">
        <f t="shared" si="3"/>
        <v xml:space="preserve"> </v>
      </c>
    </row>
    <row r="165" spans="2:3">
      <c r="B165" s="3" t="s">
        <v>8</v>
      </c>
      <c r="C165" s="3" t="str">
        <f t="shared" si="3"/>
        <v xml:space="preserve"> </v>
      </c>
    </row>
    <row r="166" spans="2:3">
      <c r="B166" s="3" t="s">
        <v>8</v>
      </c>
      <c r="C166" s="3" t="str">
        <f t="shared" si="3"/>
        <v xml:space="preserve"> </v>
      </c>
    </row>
    <row r="167" spans="2:3">
      <c r="B167" s="3" t="s">
        <v>8</v>
      </c>
      <c r="C167" s="3" t="str">
        <f t="shared" si="3"/>
        <v xml:space="preserve"> </v>
      </c>
    </row>
    <row r="168" spans="2:3">
      <c r="B168" s="3" t="s">
        <v>8</v>
      </c>
      <c r="C168" s="3" t="str">
        <f t="shared" si="3"/>
        <v xml:space="preserve"> </v>
      </c>
    </row>
    <row r="169" spans="2:3">
      <c r="B169" s="3" t="s">
        <v>8</v>
      </c>
      <c r="C169" s="3" t="str">
        <f t="shared" si="3"/>
        <v xml:space="preserve"> </v>
      </c>
    </row>
    <row r="170" spans="2:3">
      <c r="B170" s="3" t="s">
        <v>8</v>
      </c>
      <c r="C170" s="3" t="str">
        <f t="shared" si="3"/>
        <v xml:space="preserve"> </v>
      </c>
    </row>
    <row r="171" spans="2:3">
      <c r="B171" s="3" t="s">
        <v>8</v>
      </c>
      <c r="C171" s="3" t="str">
        <f t="shared" si="3"/>
        <v xml:space="preserve"> </v>
      </c>
    </row>
    <row r="172" spans="2:3">
      <c r="B172" s="3" t="s">
        <v>8</v>
      </c>
      <c r="C172" s="3" t="str">
        <f t="shared" si="3"/>
        <v xml:space="preserve"> </v>
      </c>
    </row>
    <row r="173" spans="2:3">
      <c r="B173" s="3" t="s">
        <v>8</v>
      </c>
      <c r="C173" s="3" t="str">
        <f t="shared" si="3"/>
        <v xml:space="preserve"> </v>
      </c>
    </row>
    <row r="174" spans="2:3">
      <c r="B174" s="3" t="s">
        <v>8</v>
      </c>
      <c r="C174" s="3" t="str">
        <f t="shared" si="3"/>
        <v xml:space="preserve"> </v>
      </c>
    </row>
    <row r="175" spans="2:3">
      <c r="B175" s="3" t="s">
        <v>8</v>
      </c>
      <c r="C175" s="3" t="str">
        <f t="shared" si="3"/>
        <v xml:space="preserve"> </v>
      </c>
    </row>
    <row r="176" spans="2:3">
      <c r="B176" s="3" t="s">
        <v>8</v>
      </c>
      <c r="C176" s="3" t="str">
        <f t="shared" si="3"/>
        <v xml:space="preserve"> </v>
      </c>
    </row>
    <row r="177" spans="2:3">
      <c r="B177" s="3" t="s">
        <v>8</v>
      </c>
      <c r="C177" s="3" t="str">
        <f t="shared" si="3"/>
        <v xml:space="preserve"> </v>
      </c>
    </row>
    <row r="178" spans="2:3">
      <c r="B178" s="3" t="s">
        <v>8</v>
      </c>
      <c r="C178" s="3" t="str">
        <f t="shared" si="3"/>
        <v xml:space="preserve"> </v>
      </c>
    </row>
    <row r="179" spans="2:3">
      <c r="B179" s="3" t="s">
        <v>8</v>
      </c>
      <c r="C179" s="3" t="str">
        <f t="shared" si="3"/>
        <v xml:space="preserve"> </v>
      </c>
    </row>
    <row r="180" spans="2:3">
      <c r="B180" s="3" t="s">
        <v>8</v>
      </c>
      <c r="C180" s="3" t="str">
        <f t="shared" si="3"/>
        <v xml:space="preserve"> </v>
      </c>
    </row>
    <row r="181" spans="2:3">
      <c r="B181" s="3" t="s">
        <v>8</v>
      </c>
      <c r="C181" s="3" t="str">
        <f t="shared" si="3"/>
        <v xml:space="preserve"> </v>
      </c>
    </row>
    <row r="182" spans="2:3">
      <c r="B182" s="3" t="s">
        <v>8</v>
      </c>
      <c r="C182" s="3" t="str">
        <f t="shared" si="3"/>
        <v xml:space="preserve"> </v>
      </c>
    </row>
    <row r="183" spans="2:3">
      <c r="B183" s="3" t="s">
        <v>8</v>
      </c>
      <c r="C183" s="3" t="str">
        <f t="shared" si="3"/>
        <v xml:space="preserve"> </v>
      </c>
    </row>
    <row r="184" spans="2:3">
      <c r="B184" s="3" t="s">
        <v>8</v>
      </c>
      <c r="C184" s="3" t="str">
        <f t="shared" si="3"/>
        <v xml:space="preserve"> </v>
      </c>
    </row>
    <row r="185" spans="2:3">
      <c r="B185" s="3" t="s">
        <v>8</v>
      </c>
      <c r="C185" s="3" t="str">
        <f t="shared" si="3"/>
        <v xml:space="preserve"> </v>
      </c>
    </row>
    <row r="186" spans="2:3">
      <c r="B186" s="3" t="s">
        <v>8</v>
      </c>
      <c r="C186" s="3" t="str">
        <f t="shared" si="3"/>
        <v xml:space="preserve"> </v>
      </c>
    </row>
    <row r="187" spans="2:3">
      <c r="B187" s="3" t="s">
        <v>8</v>
      </c>
      <c r="C187" s="3" t="str">
        <f t="shared" si="3"/>
        <v xml:space="preserve"> </v>
      </c>
    </row>
    <row r="188" spans="2:3">
      <c r="B188" s="3" t="s">
        <v>8</v>
      </c>
      <c r="C188" s="3" t="str">
        <f t="shared" si="3"/>
        <v xml:space="preserve"> </v>
      </c>
    </row>
    <row r="189" spans="2:3">
      <c r="B189" s="3" t="s">
        <v>8</v>
      </c>
      <c r="C189" s="3" t="str">
        <f t="shared" si="3"/>
        <v xml:space="preserve"> </v>
      </c>
    </row>
    <row r="190" spans="2:3">
      <c r="B190" s="3" t="s">
        <v>8</v>
      </c>
      <c r="C190" s="3" t="str">
        <f t="shared" si="3"/>
        <v xml:space="preserve"> </v>
      </c>
    </row>
    <row r="191" spans="2:3">
      <c r="B191" s="3" t="s">
        <v>8</v>
      </c>
      <c r="C191" s="3" t="str">
        <f t="shared" si="3"/>
        <v xml:space="preserve"> </v>
      </c>
    </row>
    <row r="192" spans="2:3">
      <c r="B192" s="3" t="s">
        <v>8</v>
      </c>
      <c r="C192" s="3" t="str">
        <f t="shared" si="3"/>
        <v xml:space="preserve"> </v>
      </c>
    </row>
    <row r="193" spans="2:3">
      <c r="B193" s="3" t="s">
        <v>8</v>
      </c>
      <c r="C193" s="3" t="str">
        <f t="shared" si="3"/>
        <v xml:space="preserve"> </v>
      </c>
    </row>
    <row r="194" spans="2:3">
      <c r="B194" s="3" t="s">
        <v>8</v>
      </c>
      <c r="C194" s="3" t="str">
        <f t="shared" si="3"/>
        <v xml:space="preserve"> </v>
      </c>
    </row>
    <row r="195" spans="2:3">
      <c r="B195" s="3" t="s">
        <v>8</v>
      </c>
      <c r="C195" s="3" t="str">
        <f t="shared" ref="C195:C258" si="4">TEXT(B195, "mmm-yyyy")</f>
        <v xml:space="preserve"> </v>
      </c>
    </row>
    <row r="196" spans="2:3">
      <c r="B196" s="3" t="s">
        <v>8</v>
      </c>
      <c r="C196" s="3" t="str">
        <f t="shared" si="4"/>
        <v xml:space="preserve"> </v>
      </c>
    </row>
    <row r="197" spans="2:3">
      <c r="B197" s="3" t="s">
        <v>8</v>
      </c>
      <c r="C197" s="3" t="str">
        <f t="shared" si="4"/>
        <v xml:space="preserve"> </v>
      </c>
    </row>
    <row r="198" spans="2:3">
      <c r="B198" s="3" t="s">
        <v>8</v>
      </c>
      <c r="C198" s="3" t="str">
        <f t="shared" si="4"/>
        <v xml:space="preserve"> </v>
      </c>
    </row>
    <row r="199" spans="2:3">
      <c r="B199" s="3" t="s">
        <v>8</v>
      </c>
      <c r="C199" s="3" t="str">
        <f t="shared" si="4"/>
        <v xml:space="preserve"> </v>
      </c>
    </row>
    <row r="200" spans="2:3">
      <c r="B200" s="3" t="s">
        <v>8</v>
      </c>
      <c r="C200" s="3" t="str">
        <f t="shared" si="4"/>
        <v xml:space="preserve"> </v>
      </c>
    </row>
    <row r="201" spans="2:3">
      <c r="B201" s="3" t="s">
        <v>8</v>
      </c>
      <c r="C201" s="3" t="str">
        <f t="shared" si="4"/>
        <v xml:space="preserve"> </v>
      </c>
    </row>
    <row r="202" spans="2:3">
      <c r="B202" s="3" t="s">
        <v>8</v>
      </c>
      <c r="C202" s="3" t="str">
        <f t="shared" si="4"/>
        <v xml:space="preserve"> </v>
      </c>
    </row>
    <row r="203" spans="2:3">
      <c r="B203" s="3" t="s">
        <v>8</v>
      </c>
      <c r="C203" s="3" t="str">
        <f t="shared" si="4"/>
        <v xml:space="preserve"> </v>
      </c>
    </row>
    <row r="204" spans="2:3">
      <c r="B204" s="3" t="s">
        <v>8</v>
      </c>
      <c r="C204" s="3" t="str">
        <f t="shared" si="4"/>
        <v xml:space="preserve"> </v>
      </c>
    </row>
    <row r="205" spans="2:3">
      <c r="B205" s="3" t="s">
        <v>8</v>
      </c>
      <c r="C205" s="3" t="str">
        <f t="shared" si="4"/>
        <v xml:space="preserve"> </v>
      </c>
    </row>
    <row r="206" spans="2:3">
      <c r="B206" s="3" t="s">
        <v>8</v>
      </c>
      <c r="C206" s="3" t="str">
        <f t="shared" si="4"/>
        <v xml:space="preserve"> </v>
      </c>
    </row>
    <row r="207" spans="2:3">
      <c r="B207" s="3" t="s">
        <v>8</v>
      </c>
      <c r="C207" s="3" t="str">
        <f t="shared" si="4"/>
        <v xml:space="preserve"> </v>
      </c>
    </row>
    <row r="208" spans="2:3">
      <c r="B208" s="3" t="s">
        <v>8</v>
      </c>
      <c r="C208" s="3" t="str">
        <f t="shared" si="4"/>
        <v xml:space="preserve"> </v>
      </c>
    </row>
    <row r="209" spans="2:3">
      <c r="B209" s="3" t="s">
        <v>8</v>
      </c>
      <c r="C209" s="3" t="str">
        <f t="shared" si="4"/>
        <v xml:space="preserve"> </v>
      </c>
    </row>
    <row r="210" spans="2:3">
      <c r="B210" s="3" t="s">
        <v>8</v>
      </c>
      <c r="C210" s="3" t="str">
        <f t="shared" si="4"/>
        <v xml:space="preserve"> </v>
      </c>
    </row>
    <row r="211" spans="2:3">
      <c r="B211" s="3" t="s">
        <v>8</v>
      </c>
      <c r="C211" s="3" t="str">
        <f t="shared" si="4"/>
        <v xml:space="preserve"> </v>
      </c>
    </row>
    <row r="212" spans="2:3">
      <c r="B212" s="3" t="s">
        <v>8</v>
      </c>
      <c r="C212" s="3" t="str">
        <f t="shared" si="4"/>
        <v xml:space="preserve"> </v>
      </c>
    </row>
    <row r="213" spans="2:3">
      <c r="B213" s="3" t="s">
        <v>8</v>
      </c>
      <c r="C213" s="3" t="str">
        <f t="shared" si="4"/>
        <v xml:space="preserve"> </v>
      </c>
    </row>
    <row r="214" spans="2:3">
      <c r="B214" s="3" t="s">
        <v>8</v>
      </c>
      <c r="C214" s="3" t="str">
        <f t="shared" si="4"/>
        <v xml:space="preserve"> </v>
      </c>
    </row>
    <row r="215" spans="2:3">
      <c r="B215" s="3" t="s">
        <v>8</v>
      </c>
      <c r="C215" s="3" t="str">
        <f t="shared" si="4"/>
        <v xml:space="preserve"> </v>
      </c>
    </row>
    <row r="216" spans="2:3">
      <c r="B216" s="3" t="s">
        <v>8</v>
      </c>
      <c r="C216" s="3" t="str">
        <f t="shared" si="4"/>
        <v xml:space="preserve"> </v>
      </c>
    </row>
    <row r="217" spans="2:3">
      <c r="B217" s="3" t="s">
        <v>8</v>
      </c>
      <c r="C217" s="3" t="str">
        <f t="shared" si="4"/>
        <v xml:space="preserve"> </v>
      </c>
    </row>
    <row r="218" spans="2:3">
      <c r="B218" s="3" t="s">
        <v>8</v>
      </c>
      <c r="C218" s="3" t="str">
        <f t="shared" si="4"/>
        <v xml:space="preserve"> </v>
      </c>
    </row>
    <row r="219" spans="2:3">
      <c r="B219" s="3" t="s">
        <v>8</v>
      </c>
      <c r="C219" s="3" t="str">
        <f t="shared" si="4"/>
        <v xml:space="preserve"> </v>
      </c>
    </row>
    <row r="220" spans="2:3">
      <c r="B220" s="3" t="s">
        <v>8</v>
      </c>
      <c r="C220" s="3" t="str">
        <f t="shared" si="4"/>
        <v xml:space="preserve"> </v>
      </c>
    </row>
    <row r="221" spans="2:3">
      <c r="B221" s="3" t="s">
        <v>8</v>
      </c>
      <c r="C221" s="3" t="str">
        <f t="shared" si="4"/>
        <v xml:space="preserve"> </v>
      </c>
    </row>
    <row r="222" spans="2:3">
      <c r="B222" s="3" t="s">
        <v>8</v>
      </c>
      <c r="C222" s="3" t="str">
        <f t="shared" si="4"/>
        <v xml:space="preserve"> </v>
      </c>
    </row>
    <row r="223" spans="2:3">
      <c r="B223" s="3" t="s">
        <v>8</v>
      </c>
      <c r="C223" s="3" t="str">
        <f t="shared" si="4"/>
        <v xml:space="preserve"> </v>
      </c>
    </row>
    <row r="224" spans="2:3">
      <c r="B224" s="3" t="s">
        <v>8</v>
      </c>
      <c r="C224" s="3" t="str">
        <f t="shared" si="4"/>
        <v xml:space="preserve"> </v>
      </c>
    </row>
    <row r="225" spans="2:3">
      <c r="B225" s="3" t="s">
        <v>8</v>
      </c>
      <c r="C225" s="3" t="str">
        <f t="shared" si="4"/>
        <v xml:space="preserve"> </v>
      </c>
    </row>
    <row r="226" spans="2:3">
      <c r="B226" s="3" t="s">
        <v>8</v>
      </c>
      <c r="C226" s="3" t="str">
        <f t="shared" si="4"/>
        <v xml:space="preserve"> </v>
      </c>
    </row>
    <row r="227" spans="2:3">
      <c r="B227" s="3" t="s">
        <v>8</v>
      </c>
      <c r="C227" s="3" t="str">
        <f t="shared" si="4"/>
        <v xml:space="preserve"> </v>
      </c>
    </row>
    <row r="228" spans="2:3">
      <c r="B228" s="3" t="s">
        <v>8</v>
      </c>
      <c r="C228" s="3" t="str">
        <f t="shared" si="4"/>
        <v xml:space="preserve"> </v>
      </c>
    </row>
    <row r="229" spans="2:3">
      <c r="B229" s="3" t="s">
        <v>8</v>
      </c>
      <c r="C229" s="3" t="str">
        <f t="shared" si="4"/>
        <v xml:space="preserve"> </v>
      </c>
    </row>
    <row r="230" spans="2:3">
      <c r="B230" s="3" t="s">
        <v>8</v>
      </c>
      <c r="C230" s="3" t="str">
        <f t="shared" si="4"/>
        <v xml:space="preserve"> </v>
      </c>
    </row>
    <row r="231" spans="2:3">
      <c r="B231" s="3" t="s">
        <v>8</v>
      </c>
      <c r="C231" s="3" t="str">
        <f t="shared" si="4"/>
        <v xml:space="preserve"> </v>
      </c>
    </row>
    <row r="232" spans="2:3">
      <c r="B232" s="3" t="s">
        <v>8</v>
      </c>
      <c r="C232" s="3" t="str">
        <f t="shared" si="4"/>
        <v xml:space="preserve"> </v>
      </c>
    </row>
    <row r="233" spans="2:3">
      <c r="B233" s="3" t="s">
        <v>8</v>
      </c>
      <c r="C233" s="3" t="str">
        <f t="shared" si="4"/>
        <v xml:space="preserve"> </v>
      </c>
    </row>
    <row r="234" spans="2:3">
      <c r="B234" s="3" t="s">
        <v>8</v>
      </c>
      <c r="C234" s="3" t="str">
        <f t="shared" si="4"/>
        <v xml:space="preserve"> </v>
      </c>
    </row>
    <row r="235" spans="2:3">
      <c r="B235" s="3" t="s">
        <v>8</v>
      </c>
      <c r="C235" s="3" t="str">
        <f t="shared" si="4"/>
        <v xml:space="preserve"> </v>
      </c>
    </row>
    <row r="236" spans="2:3">
      <c r="B236" s="3" t="s">
        <v>8</v>
      </c>
      <c r="C236" s="3" t="str">
        <f t="shared" si="4"/>
        <v xml:space="preserve"> </v>
      </c>
    </row>
    <row r="237" spans="2:3">
      <c r="B237" s="3" t="s">
        <v>8</v>
      </c>
      <c r="C237" s="3" t="str">
        <f t="shared" si="4"/>
        <v xml:space="preserve"> </v>
      </c>
    </row>
    <row r="238" spans="2:3">
      <c r="B238" s="3" t="s">
        <v>8</v>
      </c>
      <c r="C238" s="3" t="str">
        <f t="shared" si="4"/>
        <v xml:space="preserve"> </v>
      </c>
    </row>
    <row r="239" spans="2:3">
      <c r="B239" s="3" t="s">
        <v>8</v>
      </c>
      <c r="C239" s="3" t="str">
        <f t="shared" si="4"/>
        <v xml:space="preserve"> </v>
      </c>
    </row>
    <row r="240" spans="2:3">
      <c r="B240" s="3" t="s">
        <v>8</v>
      </c>
      <c r="C240" s="3" t="str">
        <f t="shared" si="4"/>
        <v xml:space="preserve"> </v>
      </c>
    </row>
    <row r="241" spans="2:3">
      <c r="B241" s="3" t="s">
        <v>8</v>
      </c>
      <c r="C241" s="3" t="str">
        <f t="shared" si="4"/>
        <v xml:space="preserve"> </v>
      </c>
    </row>
    <row r="242" spans="2:3">
      <c r="B242" s="3" t="s">
        <v>8</v>
      </c>
      <c r="C242" s="3" t="str">
        <f t="shared" si="4"/>
        <v xml:space="preserve"> </v>
      </c>
    </row>
    <row r="243" spans="2:3">
      <c r="B243" s="3" t="s">
        <v>8</v>
      </c>
      <c r="C243" s="3" t="str">
        <f t="shared" si="4"/>
        <v xml:space="preserve"> </v>
      </c>
    </row>
    <row r="244" spans="2:3">
      <c r="B244" s="3" t="s">
        <v>8</v>
      </c>
      <c r="C244" s="3" t="str">
        <f t="shared" si="4"/>
        <v xml:space="preserve"> </v>
      </c>
    </row>
    <row r="245" spans="2:3">
      <c r="B245" s="3" t="s">
        <v>8</v>
      </c>
      <c r="C245" s="3" t="str">
        <f t="shared" si="4"/>
        <v xml:space="preserve"> </v>
      </c>
    </row>
    <row r="246" spans="2:3">
      <c r="B246" s="3" t="s">
        <v>8</v>
      </c>
      <c r="C246" s="3" t="str">
        <f t="shared" si="4"/>
        <v xml:space="preserve"> </v>
      </c>
    </row>
    <row r="247" spans="2:3">
      <c r="B247" s="3" t="s">
        <v>8</v>
      </c>
      <c r="C247" s="3" t="str">
        <f t="shared" si="4"/>
        <v xml:space="preserve"> </v>
      </c>
    </row>
    <row r="248" spans="2:3">
      <c r="B248" s="3" t="s">
        <v>8</v>
      </c>
      <c r="C248" s="3" t="str">
        <f t="shared" si="4"/>
        <v xml:space="preserve"> </v>
      </c>
    </row>
    <row r="249" spans="2:3">
      <c r="B249" s="3" t="s">
        <v>8</v>
      </c>
      <c r="C249" s="3" t="str">
        <f t="shared" si="4"/>
        <v xml:space="preserve"> </v>
      </c>
    </row>
    <row r="250" spans="2:3">
      <c r="B250" s="3" t="s">
        <v>8</v>
      </c>
      <c r="C250" s="3" t="str">
        <f t="shared" si="4"/>
        <v xml:space="preserve"> </v>
      </c>
    </row>
    <row r="251" spans="2:3">
      <c r="B251" s="3" t="s">
        <v>8</v>
      </c>
      <c r="C251" s="3" t="str">
        <f t="shared" si="4"/>
        <v xml:space="preserve"> </v>
      </c>
    </row>
    <row r="252" spans="2:3">
      <c r="B252" s="3" t="s">
        <v>8</v>
      </c>
      <c r="C252" s="3" t="str">
        <f t="shared" si="4"/>
        <v xml:space="preserve"> </v>
      </c>
    </row>
    <row r="253" spans="2:3">
      <c r="B253" s="3" t="s">
        <v>8</v>
      </c>
      <c r="C253" s="3" t="str">
        <f t="shared" si="4"/>
        <v xml:space="preserve"> </v>
      </c>
    </row>
    <row r="254" spans="2:3">
      <c r="B254" s="3" t="s">
        <v>8</v>
      </c>
      <c r="C254" s="3" t="str">
        <f t="shared" si="4"/>
        <v xml:space="preserve"> </v>
      </c>
    </row>
    <row r="255" spans="2:3">
      <c r="B255" s="3" t="s">
        <v>8</v>
      </c>
      <c r="C255" s="3" t="str">
        <f t="shared" si="4"/>
        <v xml:space="preserve"> </v>
      </c>
    </row>
    <row r="256" spans="2:3">
      <c r="B256" s="3" t="s">
        <v>8</v>
      </c>
      <c r="C256" s="3" t="str">
        <f t="shared" si="4"/>
        <v xml:space="preserve"> </v>
      </c>
    </row>
    <row r="257" spans="2:3">
      <c r="B257" s="3" t="s">
        <v>8</v>
      </c>
      <c r="C257" s="3" t="str">
        <f t="shared" si="4"/>
        <v xml:space="preserve"> </v>
      </c>
    </row>
    <row r="258" spans="2:3">
      <c r="B258" s="3" t="s">
        <v>8</v>
      </c>
      <c r="C258" s="3" t="str">
        <f t="shared" si="4"/>
        <v xml:space="preserve"> </v>
      </c>
    </row>
    <row r="259" spans="2:3">
      <c r="B259" s="3" t="s">
        <v>8</v>
      </c>
      <c r="C259" s="3" t="str">
        <f t="shared" ref="C259:C322" si="5">TEXT(B259, "mmm-yyyy")</f>
        <v xml:space="preserve"> </v>
      </c>
    </row>
    <row r="260" spans="2:3">
      <c r="B260" s="3" t="s">
        <v>8</v>
      </c>
      <c r="C260" s="3" t="str">
        <f t="shared" si="5"/>
        <v xml:space="preserve"> </v>
      </c>
    </row>
    <row r="261" spans="2:3">
      <c r="B261" s="3" t="s">
        <v>8</v>
      </c>
      <c r="C261" s="3" t="str">
        <f t="shared" si="5"/>
        <v xml:space="preserve"> </v>
      </c>
    </row>
    <row r="262" spans="2:3">
      <c r="B262" s="3" t="s">
        <v>8</v>
      </c>
      <c r="C262" s="3" t="str">
        <f t="shared" si="5"/>
        <v xml:space="preserve"> </v>
      </c>
    </row>
    <row r="263" spans="2:3">
      <c r="B263" s="3" t="s">
        <v>8</v>
      </c>
      <c r="C263" s="3" t="str">
        <f t="shared" si="5"/>
        <v xml:space="preserve"> </v>
      </c>
    </row>
    <row r="264" spans="2:3">
      <c r="B264" s="3" t="s">
        <v>8</v>
      </c>
      <c r="C264" s="3" t="str">
        <f t="shared" si="5"/>
        <v xml:space="preserve"> </v>
      </c>
    </row>
    <row r="265" spans="2:3">
      <c r="B265" s="3" t="s">
        <v>8</v>
      </c>
      <c r="C265" s="3" t="str">
        <f t="shared" si="5"/>
        <v xml:space="preserve"> </v>
      </c>
    </row>
    <row r="266" spans="2:3">
      <c r="B266" s="3" t="s">
        <v>8</v>
      </c>
      <c r="C266" s="3" t="str">
        <f t="shared" si="5"/>
        <v xml:space="preserve"> </v>
      </c>
    </row>
    <row r="267" spans="2:3">
      <c r="B267" s="3" t="s">
        <v>8</v>
      </c>
      <c r="C267" s="3" t="str">
        <f t="shared" si="5"/>
        <v xml:space="preserve"> </v>
      </c>
    </row>
    <row r="268" spans="2:3">
      <c r="B268" s="3" t="s">
        <v>8</v>
      </c>
      <c r="C268" s="3" t="str">
        <f t="shared" si="5"/>
        <v xml:space="preserve"> </v>
      </c>
    </row>
    <row r="269" spans="2:3">
      <c r="B269" s="3" t="s">
        <v>8</v>
      </c>
      <c r="C269" s="3" t="str">
        <f t="shared" si="5"/>
        <v xml:space="preserve"> </v>
      </c>
    </row>
    <row r="270" spans="2:3">
      <c r="B270" s="3" t="s">
        <v>8</v>
      </c>
      <c r="C270" s="3" t="str">
        <f t="shared" si="5"/>
        <v xml:space="preserve"> </v>
      </c>
    </row>
    <row r="271" spans="2:3">
      <c r="B271" s="3" t="s">
        <v>8</v>
      </c>
      <c r="C271" s="3" t="str">
        <f t="shared" si="5"/>
        <v xml:space="preserve"> </v>
      </c>
    </row>
    <row r="272" spans="2:3">
      <c r="B272" s="3" t="s">
        <v>8</v>
      </c>
      <c r="C272" s="3" t="str">
        <f t="shared" si="5"/>
        <v xml:space="preserve"> </v>
      </c>
    </row>
    <row r="273" spans="2:3">
      <c r="B273" s="3" t="s">
        <v>8</v>
      </c>
      <c r="C273" s="3" t="str">
        <f t="shared" si="5"/>
        <v xml:space="preserve"> </v>
      </c>
    </row>
    <row r="274" spans="2:3">
      <c r="B274" s="3" t="s">
        <v>8</v>
      </c>
      <c r="C274" s="3" t="str">
        <f t="shared" si="5"/>
        <v xml:space="preserve"> </v>
      </c>
    </row>
    <row r="275" spans="2:3">
      <c r="B275" s="3" t="s">
        <v>8</v>
      </c>
      <c r="C275" s="3" t="str">
        <f t="shared" si="5"/>
        <v xml:space="preserve"> </v>
      </c>
    </row>
    <row r="276" spans="2:3">
      <c r="B276" s="3" t="s">
        <v>8</v>
      </c>
      <c r="C276" s="3" t="str">
        <f t="shared" si="5"/>
        <v xml:space="preserve"> </v>
      </c>
    </row>
    <row r="277" spans="2:3">
      <c r="B277" s="3" t="s">
        <v>8</v>
      </c>
      <c r="C277" s="3" t="str">
        <f t="shared" si="5"/>
        <v xml:space="preserve"> </v>
      </c>
    </row>
    <row r="278" spans="2:3">
      <c r="B278" s="3" t="s">
        <v>8</v>
      </c>
      <c r="C278" s="3" t="str">
        <f t="shared" si="5"/>
        <v xml:space="preserve"> </v>
      </c>
    </row>
    <row r="279" spans="2:3">
      <c r="B279" s="3" t="s">
        <v>8</v>
      </c>
      <c r="C279" s="3" t="str">
        <f t="shared" si="5"/>
        <v xml:space="preserve"> </v>
      </c>
    </row>
    <row r="280" spans="2:3">
      <c r="B280" s="3" t="s">
        <v>8</v>
      </c>
      <c r="C280" s="3" t="str">
        <f t="shared" si="5"/>
        <v xml:space="preserve"> </v>
      </c>
    </row>
    <row r="281" spans="2:3">
      <c r="B281" s="3" t="s">
        <v>8</v>
      </c>
      <c r="C281" s="3" t="str">
        <f t="shared" si="5"/>
        <v xml:space="preserve"> </v>
      </c>
    </row>
    <row r="282" spans="2:3">
      <c r="B282" s="3" t="s">
        <v>8</v>
      </c>
      <c r="C282" s="3" t="str">
        <f t="shared" si="5"/>
        <v xml:space="preserve"> </v>
      </c>
    </row>
    <row r="283" spans="2:3">
      <c r="B283" s="3" t="s">
        <v>8</v>
      </c>
      <c r="C283" s="3" t="str">
        <f t="shared" si="5"/>
        <v xml:space="preserve"> </v>
      </c>
    </row>
    <row r="284" spans="2:3">
      <c r="B284" s="3" t="s">
        <v>8</v>
      </c>
      <c r="C284" s="3" t="str">
        <f t="shared" si="5"/>
        <v xml:space="preserve"> </v>
      </c>
    </row>
    <row r="285" spans="2:3">
      <c r="B285" s="3" t="s">
        <v>8</v>
      </c>
      <c r="C285" s="3" t="str">
        <f t="shared" si="5"/>
        <v xml:space="preserve"> </v>
      </c>
    </row>
    <row r="286" spans="2:3">
      <c r="B286" s="3" t="s">
        <v>8</v>
      </c>
      <c r="C286" s="3" t="str">
        <f t="shared" si="5"/>
        <v xml:space="preserve"> </v>
      </c>
    </row>
    <row r="287" spans="2:3">
      <c r="B287" s="3" t="s">
        <v>8</v>
      </c>
      <c r="C287" s="3" t="str">
        <f t="shared" si="5"/>
        <v xml:space="preserve"> </v>
      </c>
    </row>
    <row r="288" spans="2:3">
      <c r="B288" s="3" t="s">
        <v>8</v>
      </c>
      <c r="C288" s="3" t="str">
        <f t="shared" si="5"/>
        <v xml:space="preserve"> </v>
      </c>
    </row>
    <row r="289" spans="2:3">
      <c r="B289" s="3" t="s">
        <v>8</v>
      </c>
      <c r="C289" s="3" t="str">
        <f t="shared" si="5"/>
        <v xml:space="preserve"> </v>
      </c>
    </row>
    <row r="290" spans="2:3">
      <c r="B290" s="3" t="s">
        <v>8</v>
      </c>
      <c r="C290" s="3" t="str">
        <f t="shared" si="5"/>
        <v xml:space="preserve"> </v>
      </c>
    </row>
    <row r="291" spans="2:3">
      <c r="B291" s="3" t="s">
        <v>8</v>
      </c>
      <c r="C291" s="3" t="str">
        <f t="shared" si="5"/>
        <v xml:space="preserve"> </v>
      </c>
    </row>
    <row r="292" spans="2:3">
      <c r="B292" s="3" t="s">
        <v>8</v>
      </c>
      <c r="C292" s="3" t="str">
        <f t="shared" si="5"/>
        <v xml:space="preserve"> </v>
      </c>
    </row>
    <row r="293" spans="2:3">
      <c r="B293" s="3" t="s">
        <v>8</v>
      </c>
      <c r="C293" s="3" t="str">
        <f t="shared" si="5"/>
        <v xml:space="preserve"> </v>
      </c>
    </row>
    <row r="294" spans="2:3">
      <c r="B294" s="3" t="s">
        <v>8</v>
      </c>
      <c r="C294" s="3" t="str">
        <f t="shared" si="5"/>
        <v xml:space="preserve"> </v>
      </c>
    </row>
    <row r="295" spans="2:3">
      <c r="B295" s="3" t="s">
        <v>8</v>
      </c>
      <c r="C295" s="3" t="str">
        <f t="shared" si="5"/>
        <v xml:space="preserve"> </v>
      </c>
    </row>
    <row r="296" spans="2:3">
      <c r="B296" s="3" t="s">
        <v>8</v>
      </c>
      <c r="C296" s="3" t="str">
        <f t="shared" si="5"/>
        <v xml:space="preserve"> </v>
      </c>
    </row>
    <row r="297" spans="2:3">
      <c r="B297" s="3" t="s">
        <v>8</v>
      </c>
      <c r="C297" s="3" t="str">
        <f t="shared" si="5"/>
        <v xml:space="preserve"> </v>
      </c>
    </row>
    <row r="298" spans="2:3">
      <c r="B298" s="3" t="s">
        <v>8</v>
      </c>
      <c r="C298" s="3" t="str">
        <f t="shared" si="5"/>
        <v xml:space="preserve"> </v>
      </c>
    </row>
    <row r="299" spans="2:3">
      <c r="B299" s="3" t="s">
        <v>8</v>
      </c>
      <c r="C299" s="3" t="str">
        <f t="shared" si="5"/>
        <v xml:space="preserve"> </v>
      </c>
    </row>
    <row r="300" spans="2:3">
      <c r="B300" s="3" t="s">
        <v>8</v>
      </c>
      <c r="C300" s="3" t="str">
        <f t="shared" si="5"/>
        <v xml:space="preserve"> </v>
      </c>
    </row>
    <row r="301" spans="2:3">
      <c r="B301" s="3" t="s">
        <v>8</v>
      </c>
      <c r="C301" s="3" t="str">
        <f t="shared" si="5"/>
        <v xml:space="preserve"> </v>
      </c>
    </row>
    <row r="302" spans="2:3">
      <c r="B302" s="3" t="s">
        <v>8</v>
      </c>
      <c r="C302" s="3" t="str">
        <f t="shared" si="5"/>
        <v xml:space="preserve"> </v>
      </c>
    </row>
    <row r="303" spans="2:3">
      <c r="B303" s="3" t="s">
        <v>8</v>
      </c>
      <c r="C303" s="3" t="str">
        <f t="shared" si="5"/>
        <v xml:space="preserve"> </v>
      </c>
    </row>
    <row r="304" spans="2:3">
      <c r="B304" s="3" t="s">
        <v>8</v>
      </c>
      <c r="C304" s="3" t="str">
        <f t="shared" si="5"/>
        <v xml:space="preserve"> </v>
      </c>
    </row>
    <row r="305" spans="2:3">
      <c r="B305" s="3" t="s">
        <v>8</v>
      </c>
      <c r="C305" s="3" t="str">
        <f t="shared" si="5"/>
        <v xml:space="preserve"> </v>
      </c>
    </row>
    <row r="306" spans="2:3">
      <c r="B306" s="3" t="s">
        <v>8</v>
      </c>
      <c r="C306" s="3" t="str">
        <f t="shared" si="5"/>
        <v xml:space="preserve"> </v>
      </c>
    </row>
    <row r="307" spans="2:3">
      <c r="B307" s="3" t="s">
        <v>8</v>
      </c>
      <c r="C307" s="3" t="str">
        <f t="shared" si="5"/>
        <v xml:space="preserve"> </v>
      </c>
    </row>
    <row r="308" spans="2:3">
      <c r="B308" s="3" t="s">
        <v>8</v>
      </c>
      <c r="C308" s="3" t="str">
        <f t="shared" si="5"/>
        <v xml:space="preserve"> </v>
      </c>
    </row>
    <row r="309" spans="2:3">
      <c r="B309" s="3" t="s">
        <v>8</v>
      </c>
      <c r="C309" s="3" t="str">
        <f t="shared" si="5"/>
        <v xml:space="preserve"> </v>
      </c>
    </row>
    <row r="310" spans="2:3">
      <c r="B310" s="3" t="s">
        <v>8</v>
      </c>
      <c r="C310" s="3" t="str">
        <f t="shared" si="5"/>
        <v xml:space="preserve"> </v>
      </c>
    </row>
    <row r="311" spans="2:3">
      <c r="B311" s="3" t="s">
        <v>8</v>
      </c>
      <c r="C311" s="3" t="str">
        <f t="shared" si="5"/>
        <v xml:space="preserve"> </v>
      </c>
    </row>
    <row r="312" spans="2:3">
      <c r="B312" s="3" t="s">
        <v>8</v>
      </c>
      <c r="C312" s="3" t="str">
        <f t="shared" si="5"/>
        <v xml:space="preserve"> </v>
      </c>
    </row>
    <row r="313" spans="2:3">
      <c r="B313" s="3" t="s">
        <v>8</v>
      </c>
      <c r="C313" s="3" t="str">
        <f t="shared" si="5"/>
        <v xml:space="preserve"> </v>
      </c>
    </row>
    <row r="314" spans="2:3">
      <c r="B314" s="3" t="s">
        <v>8</v>
      </c>
      <c r="C314" s="3" t="str">
        <f t="shared" si="5"/>
        <v xml:space="preserve"> </v>
      </c>
    </row>
    <row r="315" spans="2:3">
      <c r="B315" s="3" t="s">
        <v>8</v>
      </c>
      <c r="C315" s="3" t="str">
        <f t="shared" si="5"/>
        <v xml:space="preserve"> </v>
      </c>
    </row>
    <row r="316" spans="2:3">
      <c r="B316" s="3" t="s">
        <v>8</v>
      </c>
      <c r="C316" s="3" t="str">
        <f t="shared" si="5"/>
        <v xml:space="preserve"> </v>
      </c>
    </row>
    <row r="317" spans="2:3">
      <c r="B317" s="3" t="s">
        <v>8</v>
      </c>
      <c r="C317" s="3" t="str">
        <f t="shared" si="5"/>
        <v xml:space="preserve"> </v>
      </c>
    </row>
    <row r="318" spans="2:3">
      <c r="B318" s="3" t="s">
        <v>8</v>
      </c>
      <c r="C318" s="3" t="str">
        <f t="shared" si="5"/>
        <v xml:space="preserve"> </v>
      </c>
    </row>
    <row r="319" spans="2:3">
      <c r="B319" s="3" t="s">
        <v>8</v>
      </c>
      <c r="C319" s="3" t="str">
        <f t="shared" si="5"/>
        <v xml:space="preserve"> </v>
      </c>
    </row>
    <row r="320" spans="2:3">
      <c r="B320" s="3" t="s">
        <v>8</v>
      </c>
      <c r="C320" s="3" t="str">
        <f t="shared" si="5"/>
        <v xml:space="preserve"> </v>
      </c>
    </row>
    <row r="321" spans="2:3">
      <c r="B321" s="3" t="s">
        <v>8</v>
      </c>
      <c r="C321" s="3" t="str">
        <f t="shared" si="5"/>
        <v xml:space="preserve"> </v>
      </c>
    </row>
    <row r="322" spans="2:3">
      <c r="B322" s="3" t="s">
        <v>8</v>
      </c>
      <c r="C322" s="3" t="str">
        <f t="shared" si="5"/>
        <v xml:space="preserve"> </v>
      </c>
    </row>
    <row r="323" spans="2:3">
      <c r="B323" s="3" t="s">
        <v>8</v>
      </c>
      <c r="C323" s="3" t="str">
        <f t="shared" ref="C323:C386" si="6">TEXT(B323, "mmm-yyyy")</f>
        <v xml:space="preserve"> </v>
      </c>
    </row>
    <row r="324" spans="2:3">
      <c r="B324" s="3" t="s">
        <v>8</v>
      </c>
      <c r="C324" s="3" t="str">
        <f t="shared" si="6"/>
        <v xml:space="preserve"> </v>
      </c>
    </row>
    <row r="325" spans="2:3">
      <c r="B325" s="3" t="s">
        <v>8</v>
      </c>
      <c r="C325" s="3" t="str">
        <f t="shared" si="6"/>
        <v xml:space="preserve"> </v>
      </c>
    </row>
    <row r="326" spans="2:3">
      <c r="B326" s="3" t="s">
        <v>8</v>
      </c>
      <c r="C326" s="3" t="str">
        <f t="shared" si="6"/>
        <v xml:space="preserve"> </v>
      </c>
    </row>
    <row r="327" spans="2:3">
      <c r="B327" s="3" t="s">
        <v>8</v>
      </c>
      <c r="C327" s="3" t="str">
        <f t="shared" si="6"/>
        <v xml:space="preserve"> </v>
      </c>
    </row>
    <row r="328" spans="2:3">
      <c r="B328" s="3" t="s">
        <v>8</v>
      </c>
      <c r="C328" s="3" t="str">
        <f t="shared" si="6"/>
        <v xml:space="preserve"> </v>
      </c>
    </row>
    <row r="329" spans="2:3">
      <c r="B329" s="3" t="s">
        <v>8</v>
      </c>
      <c r="C329" s="3" t="str">
        <f t="shared" si="6"/>
        <v xml:space="preserve"> </v>
      </c>
    </row>
    <row r="330" spans="2:3">
      <c r="B330" s="3" t="s">
        <v>8</v>
      </c>
      <c r="C330" s="3" t="str">
        <f t="shared" si="6"/>
        <v xml:space="preserve"> </v>
      </c>
    </row>
    <row r="331" spans="2:3">
      <c r="B331" s="3" t="s">
        <v>8</v>
      </c>
      <c r="C331" s="3" t="str">
        <f t="shared" si="6"/>
        <v xml:space="preserve"> </v>
      </c>
    </row>
    <row r="332" spans="2:3">
      <c r="B332" s="3" t="s">
        <v>8</v>
      </c>
      <c r="C332" s="3" t="str">
        <f t="shared" si="6"/>
        <v xml:space="preserve"> </v>
      </c>
    </row>
    <row r="333" spans="2:3">
      <c r="B333" s="3" t="s">
        <v>8</v>
      </c>
      <c r="C333" s="3" t="str">
        <f t="shared" si="6"/>
        <v xml:space="preserve"> </v>
      </c>
    </row>
    <row r="334" spans="2:3">
      <c r="B334" s="3" t="s">
        <v>8</v>
      </c>
      <c r="C334" s="3" t="str">
        <f t="shared" si="6"/>
        <v xml:space="preserve"> </v>
      </c>
    </row>
    <row r="335" spans="2:3">
      <c r="B335" s="3" t="s">
        <v>8</v>
      </c>
      <c r="C335" s="3" t="str">
        <f t="shared" si="6"/>
        <v xml:space="preserve"> </v>
      </c>
    </row>
    <row r="336" spans="2:3">
      <c r="B336" s="3" t="s">
        <v>8</v>
      </c>
      <c r="C336" s="3" t="str">
        <f t="shared" si="6"/>
        <v xml:space="preserve"> </v>
      </c>
    </row>
    <row r="337" spans="2:3">
      <c r="B337" s="3" t="s">
        <v>8</v>
      </c>
      <c r="C337" s="3" t="str">
        <f t="shared" si="6"/>
        <v xml:space="preserve"> </v>
      </c>
    </row>
    <row r="338" spans="2:3">
      <c r="B338" s="3" t="s">
        <v>8</v>
      </c>
      <c r="C338" s="3" t="str">
        <f t="shared" si="6"/>
        <v xml:space="preserve"> </v>
      </c>
    </row>
    <row r="339" spans="2:3">
      <c r="B339" s="3" t="s">
        <v>8</v>
      </c>
      <c r="C339" s="3" t="str">
        <f t="shared" si="6"/>
        <v xml:space="preserve"> </v>
      </c>
    </row>
    <row r="340" spans="2:3">
      <c r="B340" s="3" t="s">
        <v>8</v>
      </c>
      <c r="C340" s="3" t="str">
        <f t="shared" si="6"/>
        <v xml:space="preserve"> </v>
      </c>
    </row>
    <row r="341" spans="2:3">
      <c r="B341" s="3" t="s">
        <v>8</v>
      </c>
      <c r="C341" s="3" t="str">
        <f t="shared" si="6"/>
        <v xml:space="preserve"> </v>
      </c>
    </row>
    <row r="342" spans="2:3">
      <c r="B342" s="3" t="s">
        <v>8</v>
      </c>
      <c r="C342" s="3" t="str">
        <f t="shared" si="6"/>
        <v xml:space="preserve"> </v>
      </c>
    </row>
    <row r="343" spans="2:3">
      <c r="B343" s="3" t="s">
        <v>8</v>
      </c>
      <c r="C343" s="3" t="str">
        <f t="shared" si="6"/>
        <v xml:space="preserve"> </v>
      </c>
    </row>
    <row r="344" spans="2:3">
      <c r="B344" s="3" t="s">
        <v>8</v>
      </c>
      <c r="C344" s="3" t="str">
        <f t="shared" si="6"/>
        <v xml:space="preserve"> </v>
      </c>
    </row>
    <row r="345" spans="2:3">
      <c r="B345" s="3" t="s">
        <v>8</v>
      </c>
      <c r="C345" s="3" t="str">
        <f t="shared" si="6"/>
        <v xml:space="preserve"> </v>
      </c>
    </row>
    <row r="346" spans="2:3">
      <c r="B346" s="3" t="s">
        <v>8</v>
      </c>
      <c r="C346" s="3" t="str">
        <f t="shared" si="6"/>
        <v xml:space="preserve"> </v>
      </c>
    </row>
    <row r="347" spans="2:3">
      <c r="B347" s="3" t="s">
        <v>8</v>
      </c>
      <c r="C347" s="3" t="str">
        <f t="shared" si="6"/>
        <v xml:space="preserve"> </v>
      </c>
    </row>
    <row r="348" spans="2:3">
      <c r="B348" s="3" t="s">
        <v>8</v>
      </c>
      <c r="C348" s="3" t="str">
        <f t="shared" si="6"/>
        <v xml:space="preserve"> </v>
      </c>
    </row>
    <row r="349" spans="2:3">
      <c r="B349" s="3" t="s">
        <v>8</v>
      </c>
      <c r="C349" s="3" t="str">
        <f t="shared" si="6"/>
        <v xml:space="preserve"> </v>
      </c>
    </row>
    <row r="350" spans="2:3">
      <c r="B350" s="3" t="s">
        <v>8</v>
      </c>
      <c r="C350" s="3" t="str">
        <f t="shared" si="6"/>
        <v xml:space="preserve"> </v>
      </c>
    </row>
    <row r="351" spans="2:3">
      <c r="B351" s="3" t="s">
        <v>8</v>
      </c>
      <c r="C351" s="3" t="str">
        <f t="shared" si="6"/>
        <v xml:space="preserve"> </v>
      </c>
    </row>
    <row r="352" spans="2:3">
      <c r="B352" s="3" t="s">
        <v>8</v>
      </c>
      <c r="C352" s="3" t="str">
        <f t="shared" si="6"/>
        <v xml:space="preserve"> </v>
      </c>
    </row>
    <row r="353" spans="2:3">
      <c r="B353" s="3" t="s">
        <v>8</v>
      </c>
      <c r="C353" s="3" t="str">
        <f t="shared" si="6"/>
        <v xml:space="preserve"> </v>
      </c>
    </row>
    <row r="354" spans="2:3">
      <c r="B354" s="3" t="s">
        <v>8</v>
      </c>
      <c r="C354" s="3" t="str">
        <f t="shared" si="6"/>
        <v xml:space="preserve"> </v>
      </c>
    </row>
    <row r="355" spans="2:3">
      <c r="B355" s="3" t="s">
        <v>8</v>
      </c>
      <c r="C355" s="3" t="str">
        <f t="shared" si="6"/>
        <v xml:space="preserve"> </v>
      </c>
    </row>
    <row r="356" spans="2:3">
      <c r="B356" s="3" t="s">
        <v>8</v>
      </c>
      <c r="C356" s="3" t="str">
        <f t="shared" si="6"/>
        <v xml:space="preserve"> </v>
      </c>
    </row>
    <row r="357" spans="2:3">
      <c r="B357" s="3" t="s">
        <v>8</v>
      </c>
      <c r="C357" s="3" t="str">
        <f t="shared" si="6"/>
        <v xml:space="preserve"> </v>
      </c>
    </row>
    <row r="358" spans="2:3">
      <c r="B358" s="3" t="s">
        <v>8</v>
      </c>
      <c r="C358" s="3" t="str">
        <f t="shared" si="6"/>
        <v xml:space="preserve"> </v>
      </c>
    </row>
    <row r="359" spans="2:3">
      <c r="B359" s="3" t="s">
        <v>8</v>
      </c>
      <c r="C359" s="3" t="str">
        <f t="shared" si="6"/>
        <v xml:space="preserve"> </v>
      </c>
    </row>
    <row r="360" spans="2:3">
      <c r="B360" s="3" t="s">
        <v>8</v>
      </c>
      <c r="C360" s="3" t="str">
        <f t="shared" si="6"/>
        <v xml:space="preserve"> </v>
      </c>
    </row>
    <row r="361" spans="2:3">
      <c r="B361" s="3" t="s">
        <v>8</v>
      </c>
      <c r="C361" s="3" t="str">
        <f t="shared" si="6"/>
        <v xml:space="preserve"> </v>
      </c>
    </row>
    <row r="362" spans="2:3">
      <c r="B362" s="3" t="s">
        <v>8</v>
      </c>
      <c r="C362" s="3" t="str">
        <f t="shared" si="6"/>
        <v xml:space="preserve"> </v>
      </c>
    </row>
    <row r="363" spans="2:3">
      <c r="B363" s="3" t="s">
        <v>8</v>
      </c>
      <c r="C363" s="3" t="str">
        <f t="shared" si="6"/>
        <v xml:space="preserve"> </v>
      </c>
    </row>
    <row r="364" spans="2:3">
      <c r="B364" s="3" t="s">
        <v>8</v>
      </c>
      <c r="C364" s="3" t="str">
        <f t="shared" si="6"/>
        <v xml:space="preserve"> </v>
      </c>
    </row>
    <row r="365" spans="2:3">
      <c r="B365" s="3" t="s">
        <v>8</v>
      </c>
      <c r="C365" s="3" t="str">
        <f t="shared" si="6"/>
        <v xml:space="preserve"> </v>
      </c>
    </row>
    <row r="366" spans="2:3">
      <c r="B366" s="3" t="s">
        <v>8</v>
      </c>
      <c r="C366" s="3" t="str">
        <f t="shared" si="6"/>
        <v xml:space="preserve"> </v>
      </c>
    </row>
    <row r="367" spans="2:3">
      <c r="B367" s="3" t="s">
        <v>8</v>
      </c>
      <c r="C367" s="3" t="str">
        <f t="shared" si="6"/>
        <v xml:space="preserve"> </v>
      </c>
    </row>
    <row r="368" spans="2:3">
      <c r="B368" s="3" t="s">
        <v>8</v>
      </c>
      <c r="C368" s="3" t="str">
        <f t="shared" si="6"/>
        <v xml:space="preserve"> </v>
      </c>
    </row>
    <row r="369" spans="2:3">
      <c r="B369" s="3" t="s">
        <v>8</v>
      </c>
      <c r="C369" s="3" t="str">
        <f t="shared" si="6"/>
        <v xml:space="preserve"> </v>
      </c>
    </row>
    <row r="370" spans="2:3">
      <c r="B370" s="3" t="s">
        <v>8</v>
      </c>
      <c r="C370" s="3" t="str">
        <f t="shared" si="6"/>
        <v xml:space="preserve"> </v>
      </c>
    </row>
    <row r="371" spans="2:3">
      <c r="B371" s="3" t="s">
        <v>8</v>
      </c>
      <c r="C371" s="3" t="str">
        <f t="shared" si="6"/>
        <v xml:space="preserve"> </v>
      </c>
    </row>
    <row r="372" spans="2:3">
      <c r="B372" s="3" t="s">
        <v>8</v>
      </c>
      <c r="C372" s="3" t="str">
        <f t="shared" si="6"/>
        <v xml:space="preserve"> </v>
      </c>
    </row>
    <row r="373" spans="2:3">
      <c r="B373" s="3" t="s">
        <v>8</v>
      </c>
      <c r="C373" s="3" t="str">
        <f t="shared" si="6"/>
        <v xml:space="preserve"> </v>
      </c>
    </row>
    <row r="374" spans="2:3">
      <c r="B374" s="3" t="s">
        <v>8</v>
      </c>
      <c r="C374" s="3" t="str">
        <f t="shared" si="6"/>
        <v xml:space="preserve"> </v>
      </c>
    </row>
    <row r="375" spans="2:3">
      <c r="B375" s="3" t="s">
        <v>8</v>
      </c>
      <c r="C375" s="3" t="str">
        <f t="shared" si="6"/>
        <v xml:space="preserve"> </v>
      </c>
    </row>
    <row r="376" spans="2:3">
      <c r="B376" s="3" t="s">
        <v>8</v>
      </c>
      <c r="C376" s="3" t="str">
        <f t="shared" si="6"/>
        <v xml:space="preserve"> </v>
      </c>
    </row>
    <row r="377" spans="2:3">
      <c r="B377" s="3" t="s">
        <v>8</v>
      </c>
      <c r="C377" s="3" t="str">
        <f t="shared" si="6"/>
        <v xml:space="preserve"> </v>
      </c>
    </row>
    <row r="378" spans="2:3">
      <c r="B378" s="3" t="s">
        <v>8</v>
      </c>
      <c r="C378" s="3" t="str">
        <f t="shared" si="6"/>
        <v xml:space="preserve"> </v>
      </c>
    </row>
    <row r="379" spans="2:3">
      <c r="B379" s="3" t="s">
        <v>8</v>
      </c>
      <c r="C379" s="3" t="str">
        <f t="shared" si="6"/>
        <v xml:space="preserve"> </v>
      </c>
    </row>
    <row r="380" spans="2:3">
      <c r="B380" s="3" t="s">
        <v>8</v>
      </c>
      <c r="C380" s="3" t="str">
        <f t="shared" si="6"/>
        <v xml:space="preserve"> </v>
      </c>
    </row>
    <row r="381" spans="2:3">
      <c r="B381" s="3" t="s">
        <v>8</v>
      </c>
      <c r="C381" s="3" t="str">
        <f t="shared" si="6"/>
        <v xml:space="preserve"> </v>
      </c>
    </row>
    <row r="382" spans="2:3">
      <c r="B382" s="3" t="s">
        <v>8</v>
      </c>
      <c r="C382" s="3" t="str">
        <f t="shared" si="6"/>
        <v xml:space="preserve"> </v>
      </c>
    </row>
    <row r="383" spans="2:3">
      <c r="B383" s="3" t="s">
        <v>8</v>
      </c>
      <c r="C383" s="3" t="str">
        <f t="shared" si="6"/>
        <v xml:space="preserve"> </v>
      </c>
    </row>
    <row r="384" spans="2:3">
      <c r="B384" s="3" t="s">
        <v>8</v>
      </c>
      <c r="C384" s="3" t="str">
        <f t="shared" si="6"/>
        <v xml:space="preserve"> </v>
      </c>
    </row>
    <row r="385" spans="2:3">
      <c r="B385" s="3" t="s">
        <v>8</v>
      </c>
      <c r="C385" s="3" t="str">
        <f t="shared" si="6"/>
        <v xml:space="preserve"> </v>
      </c>
    </row>
    <row r="386" spans="2:3">
      <c r="B386" s="3" t="s">
        <v>8</v>
      </c>
      <c r="C386" s="3" t="str">
        <f t="shared" si="6"/>
        <v xml:space="preserve"> </v>
      </c>
    </row>
    <row r="387" spans="2:3">
      <c r="B387" s="3" t="s">
        <v>8</v>
      </c>
      <c r="C387" s="3" t="str">
        <f t="shared" ref="C387:C450" si="7">TEXT(B387, "mmm-yyyy")</f>
        <v xml:space="preserve"> </v>
      </c>
    </row>
    <row r="388" spans="2:3">
      <c r="B388" s="3" t="s">
        <v>8</v>
      </c>
      <c r="C388" s="3" t="str">
        <f t="shared" si="7"/>
        <v xml:space="preserve"> </v>
      </c>
    </row>
    <row r="389" spans="2:3">
      <c r="B389" s="3" t="s">
        <v>8</v>
      </c>
      <c r="C389" s="3" t="str">
        <f t="shared" si="7"/>
        <v xml:space="preserve"> </v>
      </c>
    </row>
    <row r="390" spans="2:3">
      <c r="B390" s="3" t="s">
        <v>8</v>
      </c>
      <c r="C390" s="3" t="str">
        <f t="shared" si="7"/>
        <v xml:space="preserve"> </v>
      </c>
    </row>
    <row r="391" spans="2:3">
      <c r="B391" s="3" t="s">
        <v>8</v>
      </c>
      <c r="C391" s="3" t="str">
        <f t="shared" si="7"/>
        <v xml:space="preserve"> </v>
      </c>
    </row>
    <row r="392" spans="2:3">
      <c r="B392" s="3" t="s">
        <v>8</v>
      </c>
      <c r="C392" s="3" t="str">
        <f t="shared" si="7"/>
        <v xml:space="preserve"> </v>
      </c>
    </row>
    <row r="393" spans="2:3">
      <c r="B393" s="3" t="s">
        <v>8</v>
      </c>
      <c r="C393" s="3" t="str">
        <f t="shared" si="7"/>
        <v xml:space="preserve"> </v>
      </c>
    </row>
    <row r="394" spans="2:3">
      <c r="B394" s="3" t="s">
        <v>8</v>
      </c>
      <c r="C394" s="3" t="str">
        <f t="shared" si="7"/>
        <v xml:space="preserve"> </v>
      </c>
    </row>
    <row r="395" spans="2:3">
      <c r="B395" s="3" t="s">
        <v>8</v>
      </c>
      <c r="C395" s="3" t="str">
        <f t="shared" si="7"/>
        <v xml:space="preserve"> </v>
      </c>
    </row>
    <row r="396" spans="2:3">
      <c r="B396" s="3" t="s">
        <v>8</v>
      </c>
      <c r="C396" s="3" t="str">
        <f t="shared" si="7"/>
        <v xml:space="preserve"> </v>
      </c>
    </row>
    <row r="397" spans="2:3">
      <c r="B397" s="3" t="s">
        <v>8</v>
      </c>
      <c r="C397" s="3" t="str">
        <f t="shared" si="7"/>
        <v xml:space="preserve"> </v>
      </c>
    </row>
    <row r="398" spans="2:3">
      <c r="B398" s="3" t="s">
        <v>8</v>
      </c>
      <c r="C398" s="3" t="str">
        <f t="shared" si="7"/>
        <v xml:space="preserve"> </v>
      </c>
    </row>
    <row r="399" spans="2:3">
      <c r="B399" s="3" t="s">
        <v>8</v>
      </c>
      <c r="C399" s="3" t="str">
        <f t="shared" si="7"/>
        <v xml:space="preserve"> </v>
      </c>
    </row>
    <row r="400" spans="2:3">
      <c r="B400" s="3" t="s">
        <v>8</v>
      </c>
      <c r="C400" s="3" t="str">
        <f t="shared" si="7"/>
        <v xml:space="preserve"> </v>
      </c>
    </row>
    <row r="401" spans="2:3">
      <c r="B401" s="3" t="s">
        <v>8</v>
      </c>
      <c r="C401" s="3" t="str">
        <f t="shared" si="7"/>
        <v xml:space="preserve"> </v>
      </c>
    </row>
    <row r="402" spans="2:3">
      <c r="B402" s="3" t="s">
        <v>8</v>
      </c>
      <c r="C402" s="3" t="str">
        <f t="shared" si="7"/>
        <v xml:space="preserve"> </v>
      </c>
    </row>
    <row r="403" spans="2:3">
      <c r="B403" s="3" t="s">
        <v>8</v>
      </c>
      <c r="C403" s="3" t="str">
        <f t="shared" si="7"/>
        <v xml:space="preserve"> </v>
      </c>
    </row>
    <row r="404" spans="2:3">
      <c r="B404" s="3" t="s">
        <v>8</v>
      </c>
      <c r="C404" s="3" t="str">
        <f t="shared" si="7"/>
        <v xml:space="preserve"> </v>
      </c>
    </row>
    <row r="405" spans="2:3">
      <c r="B405" s="3" t="s">
        <v>8</v>
      </c>
      <c r="C405" s="3" t="str">
        <f t="shared" si="7"/>
        <v xml:space="preserve"> </v>
      </c>
    </row>
    <row r="406" spans="2:3">
      <c r="B406" s="3" t="s">
        <v>8</v>
      </c>
      <c r="C406" s="3" t="str">
        <f t="shared" si="7"/>
        <v xml:space="preserve"> </v>
      </c>
    </row>
    <row r="407" spans="2:3">
      <c r="B407" s="3" t="s">
        <v>8</v>
      </c>
      <c r="C407" s="3" t="str">
        <f t="shared" si="7"/>
        <v xml:space="preserve"> </v>
      </c>
    </row>
    <row r="408" spans="2:3">
      <c r="B408" s="3" t="s">
        <v>8</v>
      </c>
      <c r="C408" s="3" t="str">
        <f t="shared" si="7"/>
        <v xml:space="preserve"> </v>
      </c>
    </row>
    <row r="409" spans="2:3">
      <c r="B409" s="3" t="s">
        <v>8</v>
      </c>
      <c r="C409" s="3" t="str">
        <f t="shared" si="7"/>
        <v xml:space="preserve"> </v>
      </c>
    </row>
    <row r="410" spans="2:3">
      <c r="B410" s="3" t="s">
        <v>8</v>
      </c>
      <c r="C410" s="3" t="str">
        <f t="shared" si="7"/>
        <v xml:space="preserve"> </v>
      </c>
    </row>
    <row r="411" spans="2:3">
      <c r="B411" s="3" t="s">
        <v>8</v>
      </c>
      <c r="C411" s="3" t="str">
        <f t="shared" si="7"/>
        <v xml:space="preserve"> </v>
      </c>
    </row>
    <row r="412" spans="2:3">
      <c r="B412" s="3" t="s">
        <v>8</v>
      </c>
      <c r="C412" s="3" t="str">
        <f t="shared" si="7"/>
        <v xml:space="preserve"> </v>
      </c>
    </row>
    <row r="413" spans="2:3">
      <c r="B413" s="3" t="s">
        <v>8</v>
      </c>
      <c r="C413" s="3" t="str">
        <f t="shared" si="7"/>
        <v xml:space="preserve"> </v>
      </c>
    </row>
    <row r="414" spans="2:3">
      <c r="B414" s="3" t="s">
        <v>8</v>
      </c>
      <c r="C414" s="3" t="str">
        <f t="shared" si="7"/>
        <v xml:space="preserve"> </v>
      </c>
    </row>
    <row r="415" spans="2:3">
      <c r="B415" s="3" t="s">
        <v>8</v>
      </c>
      <c r="C415" s="3" t="str">
        <f t="shared" si="7"/>
        <v xml:space="preserve"> </v>
      </c>
    </row>
    <row r="416" spans="2:3">
      <c r="B416" s="3" t="s">
        <v>8</v>
      </c>
      <c r="C416" s="3" t="str">
        <f t="shared" si="7"/>
        <v xml:space="preserve"> </v>
      </c>
    </row>
    <row r="417" spans="2:3">
      <c r="B417" s="3" t="s">
        <v>8</v>
      </c>
      <c r="C417" s="3" t="str">
        <f t="shared" si="7"/>
        <v xml:space="preserve"> </v>
      </c>
    </row>
    <row r="418" spans="2:3">
      <c r="B418" s="3" t="s">
        <v>8</v>
      </c>
      <c r="C418" s="3" t="str">
        <f t="shared" si="7"/>
        <v xml:space="preserve"> </v>
      </c>
    </row>
    <row r="419" spans="2:3">
      <c r="B419" s="3" t="s">
        <v>8</v>
      </c>
      <c r="C419" s="3" t="str">
        <f t="shared" si="7"/>
        <v xml:space="preserve"> </v>
      </c>
    </row>
    <row r="420" spans="2:3">
      <c r="B420" s="3" t="s">
        <v>8</v>
      </c>
      <c r="C420" s="3" t="str">
        <f t="shared" si="7"/>
        <v xml:space="preserve"> </v>
      </c>
    </row>
    <row r="421" spans="2:3">
      <c r="B421" s="3" t="s">
        <v>8</v>
      </c>
      <c r="C421" s="3" t="str">
        <f t="shared" si="7"/>
        <v xml:space="preserve"> </v>
      </c>
    </row>
    <row r="422" spans="2:3">
      <c r="B422" s="3" t="s">
        <v>8</v>
      </c>
      <c r="C422" s="3" t="str">
        <f t="shared" si="7"/>
        <v xml:space="preserve"> </v>
      </c>
    </row>
    <row r="423" spans="2:3">
      <c r="B423" s="3" t="s">
        <v>8</v>
      </c>
      <c r="C423" s="3" t="str">
        <f t="shared" si="7"/>
        <v xml:space="preserve"> </v>
      </c>
    </row>
    <row r="424" spans="2:3">
      <c r="B424" s="3" t="s">
        <v>8</v>
      </c>
      <c r="C424" s="3" t="str">
        <f t="shared" si="7"/>
        <v xml:space="preserve"> </v>
      </c>
    </row>
    <row r="425" spans="2:3">
      <c r="B425" s="3" t="s">
        <v>8</v>
      </c>
      <c r="C425" s="3" t="str">
        <f t="shared" si="7"/>
        <v xml:space="preserve"> </v>
      </c>
    </row>
    <row r="426" spans="2:3">
      <c r="B426" s="3" t="s">
        <v>8</v>
      </c>
      <c r="C426" s="3" t="str">
        <f t="shared" si="7"/>
        <v xml:space="preserve"> </v>
      </c>
    </row>
    <row r="427" spans="2:3">
      <c r="B427" s="3" t="s">
        <v>8</v>
      </c>
      <c r="C427" s="3" t="str">
        <f t="shared" si="7"/>
        <v xml:space="preserve"> </v>
      </c>
    </row>
    <row r="428" spans="2:3">
      <c r="B428" s="3" t="s">
        <v>8</v>
      </c>
      <c r="C428" s="3" t="str">
        <f t="shared" si="7"/>
        <v xml:space="preserve"> </v>
      </c>
    </row>
    <row r="429" spans="2:3">
      <c r="B429" s="3" t="s">
        <v>8</v>
      </c>
      <c r="C429" s="3" t="str">
        <f t="shared" si="7"/>
        <v xml:space="preserve"> </v>
      </c>
    </row>
    <row r="430" spans="2:3">
      <c r="B430" s="3" t="s">
        <v>8</v>
      </c>
      <c r="C430" s="3" t="str">
        <f t="shared" si="7"/>
        <v xml:space="preserve"> </v>
      </c>
    </row>
    <row r="431" spans="2:3">
      <c r="B431" s="3" t="s">
        <v>8</v>
      </c>
      <c r="C431" s="3" t="str">
        <f t="shared" si="7"/>
        <v xml:space="preserve"> </v>
      </c>
    </row>
    <row r="432" spans="2:3">
      <c r="B432" s="3" t="s">
        <v>8</v>
      </c>
      <c r="C432" s="3" t="str">
        <f t="shared" si="7"/>
        <v xml:space="preserve"> </v>
      </c>
    </row>
    <row r="433" spans="2:3">
      <c r="B433" s="3" t="s">
        <v>8</v>
      </c>
      <c r="C433" s="3" t="str">
        <f t="shared" si="7"/>
        <v xml:space="preserve"> </v>
      </c>
    </row>
    <row r="434" spans="2:3">
      <c r="B434" s="3" t="s">
        <v>8</v>
      </c>
      <c r="C434" s="3" t="str">
        <f t="shared" si="7"/>
        <v xml:space="preserve"> </v>
      </c>
    </row>
    <row r="435" spans="2:3">
      <c r="B435" s="3" t="s">
        <v>8</v>
      </c>
      <c r="C435" s="3" t="str">
        <f t="shared" si="7"/>
        <v xml:space="preserve"> </v>
      </c>
    </row>
    <row r="436" spans="2:3">
      <c r="B436" s="3" t="s">
        <v>8</v>
      </c>
      <c r="C436" s="3" t="str">
        <f t="shared" si="7"/>
        <v xml:space="preserve"> </v>
      </c>
    </row>
    <row r="437" spans="2:3">
      <c r="B437" s="3" t="s">
        <v>8</v>
      </c>
      <c r="C437" s="3" t="str">
        <f t="shared" si="7"/>
        <v xml:space="preserve"> </v>
      </c>
    </row>
    <row r="438" spans="2:3">
      <c r="B438" s="3" t="s">
        <v>8</v>
      </c>
      <c r="C438" s="3" t="str">
        <f t="shared" si="7"/>
        <v xml:space="preserve"> </v>
      </c>
    </row>
    <row r="439" spans="2:3">
      <c r="B439" s="3" t="s">
        <v>8</v>
      </c>
      <c r="C439" s="3" t="str">
        <f t="shared" si="7"/>
        <v xml:space="preserve"> </v>
      </c>
    </row>
    <row r="440" spans="2:3">
      <c r="B440" s="3" t="s">
        <v>8</v>
      </c>
      <c r="C440" s="3" t="str">
        <f t="shared" si="7"/>
        <v xml:space="preserve"> </v>
      </c>
    </row>
    <row r="441" spans="2:3">
      <c r="B441" s="3" t="s">
        <v>8</v>
      </c>
      <c r="C441" s="3" t="str">
        <f t="shared" si="7"/>
        <v xml:space="preserve"> </v>
      </c>
    </row>
    <row r="442" spans="2:3">
      <c r="B442" s="3" t="s">
        <v>8</v>
      </c>
      <c r="C442" s="3" t="str">
        <f t="shared" si="7"/>
        <v xml:space="preserve"> </v>
      </c>
    </row>
    <row r="443" spans="2:3">
      <c r="B443" s="3" t="s">
        <v>8</v>
      </c>
      <c r="C443" s="3" t="str">
        <f t="shared" si="7"/>
        <v xml:space="preserve"> </v>
      </c>
    </row>
    <row r="444" spans="2:3">
      <c r="B444" s="3" t="s">
        <v>8</v>
      </c>
      <c r="C444" s="3" t="str">
        <f t="shared" si="7"/>
        <v xml:space="preserve"> </v>
      </c>
    </row>
    <row r="445" spans="2:3">
      <c r="B445" s="3" t="s">
        <v>8</v>
      </c>
      <c r="C445" s="3" t="str">
        <f t="shared" si="7"/>
        <v xml:space="preserve"> </v>
      </c>
    </row>
    <row r="446" spans="2:3">
      <c r="B446" s="3" t="s">
        <v>8</v>
      </c>
      <c r="C446" s="3" t="str">
        <f t="shared" si="7"/>
        <v xml:space="preserve"> </v>
      </c>
    </row>
    <row r="447" spans="2:3">
      <c r="B447" s="3" t="s">
        <v>8</v>
      </c>
      <c r="C447" s="3" t="str">
        <f t="shared" si="7"/>
        <v xml:space="preserve"> </v>
      </c>
    </row>
    <row r="448" spans="2:3">
      <c r="B448" s="3" t="s">
        <v>8</v>
      </c>
      <c r="C448" s="3" t="str">
        <f t="shared" si="7"/>
        <v xml:space="preserve"> </v>
      </c>
    </row>
    <row r="449" spans="2:3">
      <c r="B449" s="3" t="s">
        <v>8</v>
      </c>
      <c r="C449" s="3" t="str">
        <f t="shared" si="7"/>
        <v xml:space="preserve"> </v>
      </c>
    </row>
    <row r="450" spans="2:3">
      <c r="B450" s="3" t="s">
        <v>8</v>
      </c>
      <c r="C450" s="3" t="str">
        <f t="shared" si="7"/>
        <v xml:space="preserve"> </v>
      </c>
    </row>
    <row r="451" spans="2:3">
      <c r="B451" s="3" t="s">
        <v>8</v>
      </c>
      <c r="C451" s="3" t="str">
        <f t="shared" ref="C451:C514" si="8">TEXT(B451, "mmm-yyyy")</f>
        <v xml:space="preserve"> </v>
      </c>
    </row>
    <row r="452" spans="2:3">
      <c r="B452" s="3" t="s">
        <v>8</v>
      </c>
      <c r="C452" s="3" t="str">
        <f t="shared" si="8"/>
        <v xml:space="preserve"> </v>
      </c>
    </row>
    <row r="453" spans="2:3">
      <c r="B453" s="3" t="s">
        <v>8</v>
      </c>
      <c r="C453" s="3" t="str">
        <f t="shared" si="8"/>
        <v xml:space="preserve"> </v>
      </c>
    </row>
    <row r="454" spans="2:3">
      <c r="B454" s="3" t="s">
        <v>8</v>
      </c>
      <c r="C454" s="3" t="str">
        <f t="shared" si="8"/>
        <v xml:space="preserve"> </v>
      </c>
    </row>
    <row r="455" spans="2:3">
      <c r="B455" s="3" t="s">
        <v>8</v>
      </c>
      <c r="C455" s="3" t="str">
        <f t="shared" si="8"/>
        <v xml:space="preserve"> </v>
      </c>
    </row>
    <row r="456" spans="2:3">
      <c r="B456" s="3" t="s">
        <v>8</v>
      </c>
      <c r="C456" s="3" t="str">
        <f t="shared" si="8"/>
        <v xml:space="preserve"> </v>
      </c>
    </row>
    <row r="457" spans="2:3">
      <c r="B457" s="3" t="s">
        <v>8</v>
      </c>
      <c r="C457" s="3" t="str">
        <f t="shared" si="8"/>
        <v xml:space="preserve"> </v>
      </c>
    </row>
    <row r="458" spans="2:3">
      <c r="B458" s="3" t="s">
        <v>8</v>
      </c>
      <c r="C458" s="3" t="str">
        <f t="shared" si="8"/>
        <v xml:space="preserve"> </v>
      </c>
    </row>
    <row r="459" spans="2:3">
      <c r="B459" s="3" t="s">
        <v>8</v>
      </c>
      <c r="C459" s="3" t="str">
        <f t="shared" si="8"/>
        <v xml:space="preserve"> </v>
      </c>
    </row>
    <row r="460" spans="2:3">
      <c r="B460" s="3" t="s">
        <v>8</v>
      </c>
      <c r="C460" s="3" t="str">
        <f t="shared" si="8"/>
        <v xml:space="preserve"> </v>
      </c>
    </row>
    <row r="461" spans="2:3">
      <c r="B461" s="3" t="s">
        <v>8</v>
      </c>
      <c r="C461" s="3" t="str">
        <f t="shared" si="8"/>
        <v xml:space="preserve"> </v>
      </c>
    </row>
    <row r="462" spans="2:3">
      <c r="B462" s="3" t="s">
        <v>8</v>
      </c>
      <c r="C462" s="3" t="str">
        <f t="shared" si="8"/>
        <v xml:space="preserve"> </v>
      </c>
    </row>
    <row r="463" spans="2:3">
      <c r="B463" s="3" t="s">
        <v>8</v>
      </c>
      <c r="C463" s="3" t="str">
        <f t="shared" si="8"/>
        <v xml:space="preserve"> </v>
      </c>
    </row>
    <row r="464" spans="2:3">
      <c r="B464" s="3" t="s">
        <v>8</v>
      </c>
      <c r="C464" s="3" t="str">
        <f t="shared" si="8"/>
        <v xml:space="preserve"> </v>
      </c>
    </row>
    <row r="465" spans="2:3">
      <c r="B465" s="3" t="s">
        <v>8</v>
      </c>
      <c r="C465" s="3" t="str">
        <f t="shared" si="8"/>
        <v xml:space="preserve"> </v>
      </c>
    </row>
    <row r="466" spans="2:3">
      <c r="B466" s="3" t="s">
        <v>8</v>
      </c>
      <c r="C466" s="3" t="str">
        <f t="shared" si="8"/>
        <v xml:space="preserve"> </v>
      </c>
    </row>
    <row r="467" spans="2:3">
      <c r="B467" s="3" t="s">
        <v>8</v>
      </c>
      <c r="C467" s="3" t="str">
        <f t="shared" si="8"/>
        <v xml:space="preserve"> </v>
      </c>
    </row>
    <row r="468" spans="2:3">
      <c r="B468" s="3" t="s">
        <v>8</v>
      </c>
      <c r="C468" s="3" t="str">
        <f t="shared" si="8"/>
        <v xml:space="preserve"> </v>
      </c>
    </row>
    <row r="469" spans="2:3">
      <c r="B469" s="3" t="s">
        <v>8</v>
      </c>
      <c r="C469" s="3" t="str">
        <f t="shared" si="8"/>
        <v xml:space="preserve"> </v>
      </c>
    </row>
    <row r="470" spans="2:3">
      <c r="B470" s="3" t="s">
        <v>8</v>
      </c>
      <c r="C470" s="3" t="str">
        <f t="shared" si="8"/>
        <v xml:space="preserve"> </v>
      </c>
    </row>
    <row r="471" spans="2:3">
      <c r="B471" s="3" t="s">
        <v>8</v>
      </c>
      <c r="C471" s="3" t="str">
        <f t="shared" si="8"/>
        <v xml:space="preserve"> </v>
      </c>
    </row>
    <row r="472" spans="2:3">
      <c r="B472" s="3" t="s">
        <v>8</v>
      </c>
      <c r="C472" s="3" t="str">
        <f t="shared" si="8"/>
        <v xml:space="preserve"> </v>
      </c>
    </row>
    <row r="473" spans="2:3">
      <c r="B473" s="3" t="s">
        <v>8</v>
      </c>
      <c r="C473" s="3" t="str">
        <f t="shared" si="8"/>
        <v xml:space="preserve"> </v>
      </c>
    </row>
    <row r="474" spans="2:3">
      <c r="B474" s="3" t="s">
        <v>8</v>
      </c>
      <c r="C474" s="3" t="str">
        <f t="shared" si="8"/>
        <v xml:space="preserve"> </v>
      </c>
    </row>
    <row r="475" spans="2:3">
      <c r="B475" s="3" t="s">
        <v>8</v>
      </c>
      <c r="C475" s="3" t="str">
        <f t="shared" si="8"/>
        <v xml:space="preserve"> </v>
      </c>
    </row>
    <row r="476" spans="2:3">
      <c r="B476" s="3" t="s">
        <v>8</v>
      </c>
      <c r="C476" s="3" t="str">
        <f t="shared" si="8"/>
        <v xml:space="preserve"> </v>
      </c>
    </row>
    <row r="477" spans="2:3">
      <c r="B477" s="3" t="s">
        <v>8</v>
      </c>
      <c r="C477" s="3" t="str">
        <f t="shared" si="8"/>
        <v xml:space="preserve"> </v>
      </c>
    </row>
    <row r="478" spans="2:3">
      <c r="B478" s="3" t="s">
        <v>8</v>
      </c>
      <c r="C478" s="3" t="str">
        <f t="shared" si="8"/>
        <v xml:space="preserve"> </v>
      </c>
    </row>
    <row r="479" spans="2:3">
      <c r="B479" s="3" t="s">
        <v>8</v>
      </c>
      <c r="C479" s="3" t="str">
        <f t="shared" si="8"/>
        <v xml:space="preserve"> </v>
      </c>
    </row>
    <row r="480" spans="2:3">
      <c r="B480" s="3" t="s">
        <v>8</v>
      </c>
      <c r="C480" s="3" t="str">
        <f t="shared" si="8"/>
        <v xml:space="preserve"> </v>
      </c>
    </row>
    <row r="481" spans="2:3">
      <c r="B481" s="3" t="s">
        <v>8</v>
      </c>
      <c r="C481" s="3" t="str">
        <f t="shared" si="8"/>
        <v xml:space="preserve"> </v>
      </c>
    </row>
    <row r="482" spans="2:3">
      <c r="B482" s="3" t="s">
        <v>8</v>
      </c>
      <c r="C482" s="3" t="str">
        <f t="shared" si="8"/>
        <v xml:space="preserve"> </v>
      </c>
    </row>
    <row r="483" spans="2:3">
      <c r="B483" s="3" t="s">
        <v>8</v>
      </c>
      <c r="C483" s="3" t="str">
        <f t="shared" si="8"/>
        <v xml:space="preserve"> </v>
      </c>
    </row>
    <row r="484" spans="2:3">
      <c r="B484" s="3" t="s">
        <v>8</v>
      </c>
      <c r="C484" s="3" t="str">
        <f t="shared" si="8"/>
        <v xml:space="preserve"> </v>
      </c>
    </row>
    <row r="485" spans="2:3">
      <c r="B485" s="3" t="s">
        <v>8</v>
      </c>
      <c r="C485" s="3" t="str">
        <f t="shared" si="8"/>
        <v xml:space="preserve"> </v>
      </c>
    </row>
    <row r="486" spans="2:3">
      <c r="B486" s="3" t="s">
        <v>8</v>
      </c>
      <c r="C486" s="3" t="str">
        <f t="shared" si="8"/>
        <v xml:space="preserve"> </v>
      </c>
    </row>
    <row r="487" spans="2:3">
      <c r="B487" s="3" t="s">
        <v>8</v>
      </c>
      <c r="C487" s="3" t="str">
        <f t="shared" si="8"/>
        <v xml:space="preserve"> </v>
      </c>
    </row>
    <row r="488" spans="2:3">
      <c r="B488" s="3" t="s">
        <v>8</v>
      </c>
      <c r="C488" s="3" t="str">
        <f t="shared" si="8"/>
        <v xml:space="preserve"> </v>
      </c>
    </row>
    <row r="489" spans="2:3">
      <c r="B489" s="3" t="s">
        <v>8</v>
      </c>
      <c r="C489" s="3" t="str">
        <f t="shared" si="8"/>
        <v xml:space="preserve"> </v>
      </c>
    </row>
    <row r="490" spans="2:3">
      <c r="B490" s="3" t="s">
        <v>8</v>
      </c>
      <c r="C490" s="3" t="str">
        <f t="shared" si="8"/>
        <v xml:space="preserve"> </v>
      </c>
    </row>
    <row r="491" spans="2:3">
      <c r="B491" s="3" t="s">
        <v>8</v>
      </c>
      <c r="C491" s="3" t="str">
        <f t="shared" si="8"/>
        <v xml:space="preserve"> </v>
      </c>
    </row>
    <row r="492" spans="2:3">
      <c r="B492" s="3" t="s">
        <v>8</v>
      </c>
      <c r="C492" s="3" t="str">
        <f t="shared" si="8"/>
        <v xml:space="preserve"> </v>
      </c>
    </row>
    <row r="493" spans="2:3">
      <c r="B493" s="3" t="s">
        <v>8</v>
      </c>
      <c r="C493" s="3" t="str">
        <f t="shared" si="8"/>
        <v xml:space="preserve"> </v>
      </c>
    </row>
    <row r="494" spans="2:3">
      <c r="B494" s="3" t="s">
        <v>8</v>
      </c>
      <c r="C494" s="3" t="str">
        <f t="shared" si="8"/>
        <v xml:space="preserve"> </v>
      </c>
    </row>
    <row r="495" spans="2:3">
      <c r="B495" s="3" t="s">
        <v>8</v>
      </c>
      <c r="C495" s="3" t="str">
        <f t="shared" si="8"/>
        <v xml:space="preserve"> </v>
      </c>
    </row>
    <row r="496" spans="2:3">
      <c r="B496" s="3" t="s">
        <v>8</v>
      </c>
      <c r="C496" s="3" t="str">
        <f t="shared" si="8"/>
        <v xml:space="preserve"> </v>
      </c>
    </row>
    <row r="497" spans="2:3">
      <c r="B497" s="3" t="s">
        <v>8</v>
      </c>
      <c r="C497" s="3" t="str">
        <f t="shared" si="8"/>
        <v xml:space="preserve"> </v>
      </c>
    </row>
    <row r="498" spans="2:3">
      <c r="B498" s="3" t="s">
        <v>8</v>
      </c>
      <c r="C498" s="3" t="str">
        <f t="shared" si="8"/>
        <v xml:space="preserve"> </v>
      </c>
    </row>
    <row r="499" spans="2:3">
      <c r="B499" s="3" t="s">
        <v>8</v>
      </c>
      <c r="C499" s="3" t="str">
        <f t="shared" si="8"/>
        <v xml:space="preserve"> </v>
      </c>
    </row>
    <row r="500" spans="2:3">
      <c r="B500" s="3" t="s">
        <v>8</v>
      </c>
      <c r="C500" s="3" t="str">
        <f t="shared" si="8"/>
        <v xml:space="preserve"> </v>
      </c>
    </row>
    <row r="501" spans="2:3">
      <c r="B501" s="3" t="s">
        <v>8</v>
      </c>
      <c r="C501" s="3" t="str">
        <f t="shared" si="8"/>
        <v xml:space="preserve"> </v>
      </c>
    </row>
    <row r="502" spans="2:3">
      <c r="B502" s="3" t="s">
        <v>8</v>
      </c>
      <c r="C502" s="3" t="str">
        <f t="shared" si="8"/>
        <v xml:space="preserve"> </v>
      </c>
    </row>
    <row r="503" spans="2:3">
      <c r="B503" s="3" t="s">
        <v>8</v>
      </c>
      <c r="C503" s="3" t="str">
        <f t="shared" si="8"/>
        <v xml:space="preserve"> </v>
      </c>
    </row>
    <row r="504" spans="2:3">
      <c r="B504" s="3" t="s">
        <v>8</v>
      </c>
      <c r="C504" s="3" t="str">
        <f t="shared" si="8"/>
        <v xml:space="preserve"> </v>
      </c>
    </row>
    <row r="505" spans="2:3">
      <c r="B505" s="3" t="s">
        <v>8</v>
      </c>
      <c r="C505" s="3" t="str">
        <f t="shared" si="8"/>
        <v xml:space="preserve"> </v>
      </c>
    </row>
    <row r="506" spans="2:3">
      <c r="B506" s="3" t="s">
        <v>8</v>
      </c>
      <c r="C506" s="3" t="str">
        <f t="shared" si="8"/>
        <v xml:space="preserve"> </v>
      </c>
    </row>
    <row r="507" spans="2:3">
      <c r="B507" s="3" t="s">
        <v>8</v>
      </c>
      <c r="C507" s="3" t="str">
        <f t="shared" si="8"/>
        <v xml:space="preserve"> </v>
      </c>
    </row>
    <row r="508" spans="2:3">
      <c r="B508" s="3" t="s">
        <v>8</v>
      </c>
      <c r="C508" s="3" t="str">
        <f t="shared" si="8"/>
        <v xml:space="preserve"> </v>
      </c>
    </row>
    <row r="509" spans="2:3">
      <c r="B509" s="3" t="s">
        <v>8</v>
      </c>
      <c r="C509" s="3" t="str">
        <f t="shared" si="8"/>
        <v xml:space="preserve"> </v>
      </c>
    </row>
    <row r="510" spans="2:3">
      <c r="B510" s="3" t="s">
        <v>8</v>
      </c>
      <c r="C510" s="3" t="str">
        <f t="shared" si="8"/>
        <v xml:space="preserve"> </v>
      </c>
    </row>
    <row r="511" spans="2:3">
      <c r="B511" s="3" t="s">
        <v>8</v>
      </c>
      <c r="C511" s="3" t="str">
        <f t="shared" si="8"/>
        <v xml:space="preserve"> </v>
      </c>
    </row>
    <row r="512" spans="2:3">
      <c r="B512" s="3" t="s">
        <v>8</v>
      </c>
      <c r="C512" s="3" t="str">
        <f t="shared" si="8"/>
        <v xml:space="preserve"> </v>
      </c>
    </row>
    <row r="513" spans="2:3">
      <c r="B513" s="3" t="s">
        <v>8</v>
      </c>
      <c r="C513" s="3" t="str">
        <f t="shared" si="8"/>
        <v xml:space="preserve"> </v>
      </c>
    </row>
    <row r="514" spans="2:3">
      <c r="B514" s="3" t="s">
        <v>8</v>
      </c>
      <c r="C514" s="3" t="str">
        <f t="shared" si="8"/>
        <v xml:space="preserve"> </v>
      </c>
    </row>
    <row r="515" spans="2:3">
      <c r="B515" s="3" t="s">
        <v>8</v>
      </c>
      <c r="C515" s="3" t="str">
        <f t="shared" ref="C515:C578" si="9">TEXT(B515, "mmm-yyyy")</f>
        <v xml:space="preserve"> </v>
      </c>
    </row>
    <row r="516" spans="2:3">
      <c r="B516" s="3" t="s">
        <v>8</v>
      </c>
      <c r="C516" s="3" t="str">
        <f t="shared" si="9"/>
        <v xml:space="preserve"> </v>
      </c>
    </row>
    <row r="517" spans="2:3">
      <c r="B517" s="3" t="s">
        <v>8</v>
      </c>
      <c r="C517" s="3" t="str">
        <f t="shared" si="9"/>
        <v xml:space="preserve"> </v>
      </c>
    </row>
    <row r="518" spans="2:3">
      <c r="B518" s="3" t="s">
        <v>8</v>
      </c>
      <c r="C518" s="3" t="str">
        <f t="shared" si="9"/>
        <v xml:space="preserve"> </v>
      </c>
    </row>
    <row r="519" spans="2:3">
      <c r="B519" s="3" t="s">
        <v>8</v>
      </c>
      <c r="C519" s="3" t="str">
        <f t="shared" si="9"/>
        <v xml:space="preserve"> </v>
      </c>
    </row>
    <row r="520" spans="2:3">
      <c r="B520" s="3" t="s">
        <v>8</v>
      </c>
      <c r="C520" s="3" t="str">
        <f t="shared" si="9"/>
        <v xml:space="preserve"> </v>
      </c>
    </row>
    <row r="521" spans="2:3">
      <c r="B521" s="3" t="s">
        <v>8</v>
      </c>
      <c r="C521" s="3" t="str">
        <f t="shared" si="9"/>
        <v xml:space="preserve"> </v>
      </c>
    </row>
    <row r="522" spans="2:3">
      <c r="B522" s="3" t="s">
        <v>8</v>
      </c>
      <c r="C522" s="3" t="str">
        <f t="shared" si="9"/>
        <v xml:space="preserve"> </v>
      </c>
    </row>
    <row r="523" spans="2:3">
      <c r="B523" s="3" t="s">
        <v>8</v>
      </c>
      <c r="C523" s="3" t="str">
        <f t="shared" si="9"/>
        <v xml:space="preserve"> </v>
      </c>
    </row>
    <row r="524" spans="2:3">
      <c r="B524" s="3" t="s">
        <v>8</v>
      </c>
      <c r="C524" s="3" t="str">
        <f t="shared" si="9"/>
        <v xml:space="preserve"> </v>
      </c>
    </row>
    <row r="525" spans="2:3">
      <c r="B525" s="3" t="s">
        <v>8</v>
      </c>
      <c r="C525" s="3" t="str">
        <f t="shared" si="9"/>
        <v xml:space="preserve"> </v>
      </c>
    </row>
    <row r="526" spans="2:3">
      <c r="B526" s="3" t="s">
        <v>8</v>
      </c>
      <c r="C526" s="3" t="str">
        <f t="shared" si="9"/>
        <v xml:space="preserve"> </v>
      </c>
    </row>
    <row r="527" spans="2:3">
      <c r="B527" s="3" t="s">
        <v>8</v>
      </c>
      <c r="C527" s="3" t="str">
        <f t="shared" si="9"/>
        <v xml:space="preserve"> </v>
      </c>
    </row>
    <row r="528" spans="2:3">
      <c r="B528" s="3" t="s">
        <v>8</v>
      </c>
      <c r="C528" s="3" t="str">
        <f t="shared" si="9"/>
        <v xml:space="preserve"> </v>
      </c>
    </row>
    <row r="529" spans="2:3">
      <c r="B529" s="3" t="s">
        <v>8</v>
      </c>
      <c r="C529" s="3" t="str">
        <f t="shared" si="9"/>
        <v xml:space="preserve"> </v>
      </c>
    </row>
    <row r="530" spans="2:3">
      <c r="B530" s="3" t="s">
        <v>8</v>
      </c>
      <c r="C530" s="3" t="str">
        <f t="shared" si="9"/>
        <v xml:space="preserve"> </v>
      </c>
    </row>
    <row r="531" spans="2:3">
      <c r="B531" s="3" t="s">
        <v>8</v>
      </c>
      <c r="C531" s="3" t="str">
        <f t="shared" si="9"/>
        <v xml:space="preserve"> </v>
      </c>
    </row>
    <row r="532" spans="2:3">
      <c r="B532" s="3" t="s">
        <v>8</v>
      </c>
      <c r="C532" s="3" t="str">
        <f t="shared" si="9"/>
        <v xml:space="preserve"> </v>
      </c>
    </row>
    <row r="533" spans="2:3">
      <c r="B533" s="3" t="s">
        <v>8</v>
      </c>
      <c r="C533" s="3" t="str">
        <f t="shared" si="9"/>
        <v xml:space="preserve"> </v>
      </c>
    </row>
    <row r="534" spans="2:3">
      <c r="B534" s="3" t="s">
        <v>8</v>
      </c>
      <c r="C534" s="3" t="str">
        <f t="shared" si="9"/>
        <v xml:space="preserve"> </v>
      </c>
    </row>
    <row r="535" spans="2:3">
      <c r="B535" s="3" t="s">
        <v>8</v>
      </c>
      <c r="C535" s="3" t="str">
        <f t="shared" si="9"/>
        <v xml:space="preserve"> </v>
      </c>
    </row>
    <row r="536" spans="2:3">
      <c r="B536" s="3" t="s">
        <v>8</v>
      </c>
      <c r="C536" s="3" t="str">
        <f t="shared" si="9"/>
        <v xml:space="preserve"> </v>
      </c>
    </row>
    <row r="537" spans="2:3">
      <c r="B537" s="3" t="s">
        <v>8</v>
      </c>
      <c r="C537" s="3" t="str">
        <f t="shared" si="9"/>
        <v xml:space="preserve"> </v>
      </c>
    </row>
    <row r="538" spans="2:3">
      <c r="B538" s="3" t="s">
        <v>8</v>
      </c>
      <c r="C538" s="3" t="str">
        <f t="shared" si="9"/>
        <v xml:space="preserve"> </v>
      </c>
    </row>
    <row r="539" spans="2:3">
      <c r="B539" s="3" t="s">
        <v>8</v>
      </c>
      <c r="C539" s="3" t="str">
        <f t="shared" si="9"/>
        <v xml:space="preserve"> </v>
      </c>
    </row>
    <row r="540" spans="2:3">
      <c r="B540" s="3" t="s">
        <v>8</v>
      </c>
      <c r="C540" s="3" t="str">
        <f t="shared" si="9"/>
        <v xml:space="preserve"> </v>
      </c>
    </row>
    <row r="541" spans="2:3">
      <c r="B541" s="3" t="s">
        <v>8</v>
      </c>
      <c r="C541" s="3" t="str">
        <f t="shared" si="9"/>
        <v xml:space="preserve"> </v>
      </c>
    </row>
    <row r="542" spans="2:3">
      <c r="B542" s="3" t="s">
        <v>8</v>
      </c>
      <c r="C542" s="3" t="str">
        <f t="shared" si="9"/>
        <v xml:space="preserve"> </v>
      </c>
    </row>
    <row r="543" spans="2:3">
      <c r="B543" s="3" t="s">
        <v>8</v>
      </c>
      <c r="C543" s="3" t="str">
        <f t="shared" si="9"/>
        <v xml:space="preserve"> </v>
      </c>
    </row>
    <row r="544" spans="2:3">
      <c r="B544" s="3" t="s">
        <v>8</v>
      </c>
      <c r="C544" s="3" t="str">
        <f t="shared" si="9"/>
        <v xml:space="preserve"> </v>
      </c>
    </row>
    <row r="545" spans="2:3">
      <c r="B545" s="3" t="s">
        <v>8</v>
      </c>
      <c r="C545" s="3" t="str">
        <f t="shared" si="9"/>
        <v xml:space="preserve"> </v>
      </c>
    </row>
    <row r="546" spans="2:3">
      <c r="B546" s="3" t="s">
        <v>8</v>
      </c>
      <c r="C546" s="3" t="str">
        <f t="shared" si="9"/>
        <v xml:space="preserve"> </v>
      </c>
    </row>
    <row r="547" spans="2:3">
      <c r="B547" s="3" t="s">
        <v>8</v>
      </c>
      <c r="C547" s="3" t="str">
        <f t="shared" si="9"/>
        <v xml:space="preserve"> </v>
      </c>
    </row>
    <row r="548" spans="2:3">
      <c r="B548" s="3" t="s">
        <v>8</v>
      </c>
      <c r="C548" s="3" t="str">
        <f t="shared" si="9"/>
        <v xml:space="preserve"> </v>
      </c>
    </row>
    <row r="549" spans="2:3">
      <c r="B549" s="3" t="s">
        <v>8</v>
      </c>
      <c r="C549" s="3" t="str">
        <f t="shared" si="9"/>
        <v xml:space="preserve"> </v>
      </c>
    </row>
    <row r="550" spans="2:3">
      <c r="B550" s="3" t="s">
        <v>8</v>
      </c>
      <c r="C550" s="3" t="str">
        <f t="shared" si="9"/>
        <v xml:space="preserve"> </v>
      </c>
    </row>
    <row r="551" spans="2:3">
      <c r="B551" s="3" t="s">
        <v>8</v>
      </c>
      <c r="C551" s="3" t="str">
        <f t="shared" si="9"/>
        <v xml:space="preserve"> </v>
      </c>
    </row>
    <row r="552" spans="2:3">
      <c r="B552" s="3" t="s">
        <v>8</v>
      </c>
      <c r="C552" s="3" t="str">
        <f t="shared" si="9"/>
        <v xml:space="preserve"> </v>
      </c>
    </row>
    <row r="553" spans="2:3">
      <c r="B553" s="3" t="s">
        <v>8</v>
      </c>
      <c r="C553" s="3" t="str">
        <f t="shared" si="9"/>
        <v xml:space="preserve"> </v>
      </c>
    </row>
    <row r="554" spans="2:3">
      <c r="B554" s="3" t="s">
        <v>8</v>
      </c>
      <c r="C554" s="3" t="str">
        <f t="shared" si="9"/>
        <v xml:space="preserve"> </v>
      </c>
    </row>
    <row r="555" spans="2:3">
      <c r="B555" s="3" t="s">
        <v>8</v>
      </c>
      <c r="C555" s="3" t="str">
        <f t="shared" si="9"/>
        <v xml:space="preserve"> </v>
      </c>
    </row>
    <row r="556" spans="2:3">
      <c r="B556" s="3" t="s">
        <v>8</v>
      </c>
      <c r="C556" s="3" t="str">
        <f t="shared" si="9"/>
        <v xml:space="preserve"> </v>
      </c>
    </row>
    <row r="557" spans="2:3">
      <c r="B557" s="3" t="s">
        <v>8</v>
      </c>
      <c r="C557" s="3" t="str">
        <f t="shared" si="9"/>
        <v xml:space="preserve"> </v>
      </c>
    </row>
    <row r="558" spans="2:3">
      <c r="B558" s="3" t="s">
        <v>8</v>
      </c>
      <c r="C558" s="3" t="str">
        <f t="shared" si="9"/>
        <v xml:space="preserve"> </v>
      </c>
    </row>
    <row r="559" spans="2:3">
      <c r="B559" s="3" t="s">
        <v>8</v>
      </c>
      <c r="C559" s="3" t="str">
        <f t="shared" si="9"/>
        <v xml:space="preserve"> </v>
      </c>
    </row>
    <row r="560" spans="2:3">
      <c r="B560" s="3" t="s">
        <v>8</v>
      </c>
      <c r="C560" s="3" t="str">
        <f t="shared" si="9"/>
        <v xml:space="preserve"> </v>
      </c>
    </row>
    <row r="561" spans="2:3">
      <c r="B561" s="3" t="s">
        <v>8</v>
      </c>
      <c r="C561" s="3" t="str">
        <f t="shared" si="9"/>
        <v xml:space="preserve"> </v>
      </c>
    </row>
    <row r="562" spans="2:3">
      <c r="B562" s="3" t="s">
        <v>8</v>
      </c>
      <c r="C562" s="3" t="str">
        <f t="shared" si="9"/>
        <v xml:space="preserve"> </v>
      </c>
    </row>
    <row r="563" spans="2:3">
      <c r="B563" s="3" t="s">
        <v>8</v>
      </c>
      <c r="C563" s="3" t="str">
        <f t="shared" si="9"/>
        <v xml:space="preserve"> </v>
      </c>
    </row>
    <row r="564" spans="2:3">
      <c r="B564" s="3" t="s">
        <v>8</v>
      </c>
      <c r="C564" s="3" t="str">
        <f t="shared" si="9"/>
        <v xml:space="preserve"> </v>
      </c>
    </row>
    <row r="565" spans="2:3">
      <c r="B565" s="3" t="s">
        <v>8</v>
      </c>
      <c r="C565" s="3" t="str">
        <f t="shared" si="9"/>
        <v xml:space="preserve"> </v>
      </c>
    </row>
    <row r="566" spans="2:3">
      <c r="B566" s="3" t="s">
        <v>8</v>
      </c>
      <c r="C566" s="3" t="str">
        <f t="shared" si="9"/>
        <v xml:space="preserve"> </v>
      </c>
    </row>
    <row r="567" spans="2:3">
      <c r="B567" s="3" t="s">
        <v>8</v>
      </c>
      <c r="C567" s="3" t="str">
        <f t="shared" si="9"/>
        <v xml:space="preserve"> </v>
      </c>
    </row>
    <row r="568" spans="2:3">
      <c r="B568" s="3" t="s">
        <v>8</v>
      </c>
      <c r="C568" s="3" t="str">
        <f t="shared" si="9"/>
        <v xml:space="preserve"> </v>
      </c>
    </row>
    <row r="569" spans="2:3">
      <c r="B569" s="3" t="s">
        <v>8</v>
      </c>
      <c r="C569" s="3" t="str">
        <f t="shared" si="9"/>
        <v xml:space="preserve"> </v>
      </c>
    </row>
    <row r="570" spans="2:3">
      <c r="B570" s="3" t="s">
        <v>8</v>
      </c>
      <c r="C570" s="3" t="str">
        <f t="shared" si="9"/>
        <v xml:space="preserve"> </v>
      </c>
    </row>
    <row r="571" spans="2:3">
      <c r="B571" s="3" t="s">
        <v>8</v>
      </c>
      <c r="C571" s="3" t="str">
        <f t="shared" si="9"/>
        <v xml:space="preserve"> </v>
      </c>
    </row>
    <row r="572" spans="2:3">
      <c r="B572" s="3" t="s">
        <v>8</v>
      </c>
      <c r="C572" s="3" t="str">
        <f t="shared" si="9"/>
        <v xml:space="preserve"> </v>
      </c>
    </row>
    <row r="573" spans="2:3">
      <c r="B573" s="3" t="s">
        <v>8</v>
      </c>
      <c r="C573" s="3" t="str">
        <f t="shared" si="9"/>
        <v xml:space="preserve"> </v>
      </c>
    </row>
    <row r="574" spans="2:3">
      <c r="B574" s="3" t="s">
        <v>8</v>
      </c>
      <c r="C574" s="3" t="str">
        <f t="shared" si="9"/>
        <v xml:space="preserve"> </v>
      </c>
    </row>
    <row r="575" spans="2:3">
      <c r="B575" s="3" t="s">
        <v>8</v>
      </c>
      <c r="C575" s="3" t="str">
        <f t="shared" si="9"/>
        <v xml:space="preserve"> </v>
      </c>
    </row>
    <row r="576" spans="2:3">
      <c r="B576" s="3" t="s">
        <v>8</v>
      </c>
      <c r="C576" s="3" t="str">
        <f t="shared" si="9"/>
        <v xml:space="preserve"> </v>
      </c>
    </row>
    <row r="577" spans="2:3">
      <c r="B577" s="3" t="s">
        <v>8</v>
      </c>
      <c r="C577" s="3" t="str">
        <f t="shared" si="9"/>
        <v xml:space="preserve"> </v>
      </c>
    </row>
    <row r="578" spans="2:3">
      <c r="B578" s="3" t="s">
        <v>8</v>
      </c>
      <c r="C578" s="3" t="str">
        <f t="shared" si="9"/>
        <v xml:space="preserve"> </v>
      </c>
    </row>
    <row r="579" spans="2:3">
      <c r="B579" s="3" t="s">
        <v>8</v>
      </c>
      <c r="C579" s="3" t="str">
        <f t="shared" ref="C579:C642" si="10">TEXT(B579, "mmm-yyyy")</f>
        <v xml:space="preserve"> </v>
      </c>
    </row>
    <row r="580" spans="2:3">
      <c r="B580" s="3" t="s">
        <v>8</v>
      </c>
      <c r="C580" s="3" t="str">
        <f t="shared" si="10"/>
        <v xml:space="preserve"> </v>
      </c>
    </row>
    <row r="581" spans="2:3">
      <c r="B581" s="3" t="s">
        <v>8</v>
      </c>
      <c r="C581" s="3" t="str">
        <f t="shared" si="10"/>
        <v xml:space="preserve"> </v>
      </c>
    </row>
    <row r="582" spans="2:3">
      <c r="B582" s="3" t="s">
        <v>8</v>
      </c>
      <c r="C582" s="3" t="str">
        <f t="shared" si="10"/>
        <v xml:space="preserve"> </v>
      </c>
    </row>
    <row r="583" spans="2:3">
      <c r="B583" s="3" t="s">
        <v>8</v>
      </c>
      <c r="C583" s="3" t="str">
        <f t="shared" si="10"/>
        <v xml:space="preserve"> </v>
      </c>
    </row>
    <row r="584" spans="2:3">
      <c r="B584" s="3" t="s">
        <v>8</v>
      </c>
      <c r="C584" s="3" t="str">
        <f t="shared" si="10"/>
        <v xml:space="preserve"> </v>
      </c>
    </row>
    <row r="585" spans="2:3">
      <c r="B585" s="3" t="s">
        <v>8</v>
      </c>
      <c r="C585" s="3" t="str">
        <f t="shared" si="10"/>
        <v xml:space="preserve"> </v>
      </c>
    </row>
    <row r="586" spans="2:3">
      <c r="B586" s="3" t="s">
        <v>8</v>
      </c>
      <c r="C586" s="3" t="str">
        <f t="shared" si="10"/>
        <v xml:space="preserve"> </v>
      </c>
    </row>
    <row r="587" spans="2:3">
      <c r="B587" s="3" t="s">
        <v>8</v>
      </c>
      <c r="C587" s="3" t="str">
        <f t="shared" si="10"/>
        <v xml:space="preserve"> </v>
      </c>
    </row>
    <row r="588" spans="2:3">
      <c r="B588" s="3" t="s">
        <v>8</v>
      </c>
      <c r="C588" s="3" t="str">
        <f t="shared" si="10"/>
        <v xml:space="preserve"> </v>
      </c>
    </row>
    <row r="589" spans="2:3">
      <c r="B589" s="3" t="s">
        <v>8</v>
      </c>
      <c r="C589" s="3" t="str">
        <f t="shared" si="10"/>
        <v xml:space="preserve"> </v>
      </c>
    </row>
    <row r="590" spans="2:3">
      <c r="B590" s="3" t="s">
        <v>8</v>
      </c>
      <c r="C590" s="3" t="str">
        <f t="shared" si="10"/>
        <v xml:space="preserve"> </v>
      </c>
    </row>
    <row r="591" spans="2:3">
      <c r="B591" s="3" t="s">
        <v>8</v>
      </c>
      <c r="C591" s="3" t="str">
        <f t="shared" si="10"/>
        <v xml:space="preserve"> </v>
      </c>
    </row>
    <row r="592" spans="2:3">
      <c r="B592" s="3" t="s">
        <v>8</v>
      </c>
      <c r="C592" s="3" t="str">
        <f t="shared" si="10"/>
        <v xml:space="preserve"> </v>
      </c>
    </row>
    <row r="593" spans="2:3">
      <c r="B593" s="3" t="s">
        <v>8</v>
      </c>
      <c r="C593" s="3" t="str">
        <f t="shared" si="10"/>
        <v xml:space="preserve"> </v>
      </c>
    </row>
    <row r="594" spans="2:3">
      <c r="B594" s="3" t="s">
        <v>8</v>
      </c>
      <c r="C594" s="3" t="str">
        <f t="shared" si="10"/>
        <v xml:space="preserve"> </v>
      </c>
    </row>
    <row r="595" spans="2:3">
      <c r="B595" s="3" t="s">
        <v>8</v>
      </c>
      <c r="C595" s="3" t="str">
        <f t="shared" si="10"/>
        <v xml:space="preserve"> </v>
      </c>
    </row>
    <row r="596" spans="2:3">
      <c r="B596" s="3" t="s">
        <v>8</v>
      </c>
      <c r="C596" s="3" t="str">
        <f t="shared" si="10"/>
        <v xml:space="preserve"> </v>
      </c>
    </row>
    <row r="597" spans="2:3">
      <c r="B597" s="3" t="s">
        <v>8</v>
      </c>
      <c r="C597" s="3" t="str">
        <f t="shared" si="10"/>
        <v xml:space="preserve"> </v>
      </c>
    </row>
    <row r="598" spans="2:3">
      <c r="B598" s="3" t="s">
        <v>8</v>
      </c>
      <c r="C598" s="3" t="str">
        <f t="shared" si="10"/>
        <v xml:space="preserve"> </v>
      </c>
    </row>
    <row r="599" spans="2:3">
      <c r="B599" s="3" t="s">
        <v>8</v>
      </c>
      <c r="C599" s="3" t="str">
        <f t="shared" si="10"/>
        <v xml:space="preserve"> </v>
      </c>
    </row>
    <row r="600" spans="2:3">
      <c r="B600" s="3" t="s">
        <v>8</v>
      </c>
      <c r="C600" s="3" t="str">
        <f t="shared" si="10"/>
        <v xml:space="preserve"> </v>
      </c>
    </row>
    <row r="601" spans="2:3">
      <c r="B601" s="3" t="s">
        <v>8</v>
      </c>
      <c r="C601" s="3" t="str">
        <f t="shared" si="10"/>
        <v xml:space="preserve"> </v>
      </c>
    </row>
    <row r="602" spans="2:3">
      <c r="B602" s="3" t="s">
        <v>8</v>
      </c>
      <c r="C602" s="3" t="str">
        <f t="shared" si="10"/>
        <v xml:space="preserve"> </v>
      </c>
    </row>
    <row r="603" spans="2:3">
      <c r="B603" s="3" t="s">
        <v>8</v>
      </c>
      <c r="C603" s="3" t="str">
        <f t="shared" si="10"/>
        <v xml:space="preserve"> </v>
      </c>
    </row>
    <row r="604" spans="2:3">
      <c r="B604" s="3" t="s">
        <v>8</v>
      </c>
      <c r="C604" s="3" t="str">
        <f t="shared" si="10"/>
        <v xml:space="preserve"> </v>
      </c>
    </row>
    <row r="605" spans="2:3">
      <c r="B605" s="3" t="s">
        <v>8</v>
      </c>
      <c r="C605" s="3" t="str">
        <f t="shared" si="10"/>
        <v xml:space="preserve"> </v>
      </c>
    </row>
    <row r="606" spans="2:3">
      <c r="B606" s="3" t="s">
        <v>8</v>
      </c>
      <c r="C606" s="3" t="str">
        <f t="shared" si="10"/>
        <v xml:space="preserve"> </v>
      </c>
    </row>
    <row r="607" spans="2:3">
      <c r="B607" s="3" t="s">
        <v>8</v>
      </c>
      <c r="C607" s="3" t="str">
        <f t="shared" si="10"/>
        <v xml:space="preserve"> </v>
      </c>
    </row>
    <row r="608" spans="2:3">
      <c r="B608" s="3" t="s">
        <v>8</v>
      </c>
      <c r="C608" s="3" t="str">
        <f t="shared" si="10"/>
        <v xml:space="preserve"> </v>
      </c>
    </row>
    <row r="609" spans="2:3">
      <c r="B609" s="3" t="s">
        <v>8</v>
      </c>
      <c r="C609" s="3" t="str">
        <f t="shared" si="10"/>
        <v xml:space="preserve"> </v>
      </c>
    </row>
    <row r="610" spans="2:3">
      <c r="B610" s="3" t="s">
        <v>8</v>
      </c>
      <c r="C610" s="3" t="str">
        <f t="shared" si="10"/>
        <v xml:space="preserve"> </v>
      </c>
    </row>
    <row r="611" spans="2:3">
      <c r="B611" s="3" t="s">
        <v>8</v>
      </c>
      <c r="C611" s="3" t="str">
        <f t="shared" si="10"/>
        <v xml:space="preserve"> </v>
      </c>
    </row>
    <row r="612" spans="2:3">
      <c r="B612" s="3" t="s">
        <v>8</v>
      </c>
      <c r="C612" s="3" t="str">
        <f t="shared" si="10"/>
        <v xml:space="preserve"> </v>
      </c>
    </row>
    <row r="613" spans="2:3">
      <c r="B613" s="3" t="s">
        <v>8</v>
      </c>
      <c r="C613" s="3" t="str">
        <f t="shared" si="10"/>
        <v xml:space="preserve"> </v>
      </c>
    </row>
    <row r="614" spans="2:3">
      <c r="B614" s="3" t="s">
        <v>8</v>
      </c>
      <c r="C614" s="3" t="str">
        <f t="shared" si="10"/>
        <v xml:space="preserve"> </v>
      </c>
    </row>
    <row r="615" spans="2:3">
      <c r="B615" s="3" t="s">
        <v>8</v>
      </c>
      <c r="C615" s="3" t="str">
        <f t="shared" si="10"/>
        <v xml:space="preserve"> </v>
      </c>
    </row>
    <row r="616" spans="2:3">
      <c r="B616" s="3" t="s">
        <v>8</v>
      </c>
      <c r="C616" s="3" t="str">
        <f t="shared" si="10"/>
        <v xml:space="preserve"> </v>
      </c>
    </row>
    <row r="617" spans="2:3">
      <c r="B617" s="3" t="s">
        <v>8</v>
      </c>
      <c r="C617" s="3" t="str">
        <f t="shared" si="10"/>
        <v xml:space="preserve"> </v>
      </c>
    </row>
    <row r="618" spans="2:3">
      <c r="B618" s="3" t="s">
        <v>8</v>
      </c>
      <c r="C618" s="3" t="str">
        <f t="shared" si="10"/>
        <v xml:space="preserve"> </v>
      </c>
    </row>
    <row r="619" spans="2:3">
      <c r="B619" s="3" t="s">
        <v>8</v>
      </c>
      <c r="C619" s="3" t="str">
        <f t="shared" si="10"/>
        <v xml:space="preserve"> </v>
      </c>
    </row>
    <row r="620" spans="2:3">
      <c r="B620" s="3" t="s">
        <v>8</v>
      </c>
      <c r="C620" s="3" t="str">
        <f t="shared" si="10"/>
        <v xml:space="preserve"> </v>
      </c>
    </row>
    <row r="621" spans="2:3">
      <c r="B621" s="3" t="s">
        <v>8</v>
      </c>
      <c r="C621" s="3" t="str">
        <f t="shared" si="10"/>
        <v xml:space="preserve"> </v>
      </c>
    </row>
    <row r="622" spans="2:3">
      <c r="B622" s="3" t="s">
        <v>8</v>
      </c>
      <c r="C622" s="3" t="str">
        <f t="shared" si="10"/>
        <v xml:space="preserve"> </v>
      </c>
    </row>
    <row r="623" spans="2:3">
      <c r="B623" s="3" t="s">
        <v>8</v>
      </c>
      <c r="C623" s="3" t="str">
        <f t="shared" si="10"/>
        <v xml:space="preserve"> </v>
      </c>
    </row>
    <row r="624" spans="2:3">
      <c r="B624" s="3" t="s">
        <v>8</v>
      </c>
      <c r="C624" s="3" t="str">
        <f t="shared" si="10"/>
        <v xml:space="preserve"> </v>
      </c>
    </row>
    <row r="625" spans="2:3">
      <c r="B625" s="3" t="s">
        <v>8</v>
      </c>
      <c r="C625" s="3" t="str">
        <f t="shared" si="10"/>
        <v xml:space="preserve"> </v>
      </c>
    </row>
    <row r="626" spans="2:3">
      <c r="B626" s="3" t="s">
        <v>8</v>
      </c>
      <c r="C626" s="3" t="str">
        <f t="shared" si="10"/>
        <v xml:space="preserve"> </v>
      </c>
    </row>
    <row r="627" spans="2:3">
      <c r="B627" s="3" t="s">
        <v>8</v>
      </c>
      <c r="C627" s="3" t="str">
        <f t="shared" si="10"/>
        <v xml:space="preserve"> </v>
      </c>
    </row>
    <row r="628" spans="2:3">
      <c r="B628" s="3" t="s">
        <v>8</v>
      </c>
      <c r="C628" s="3" t="str">
        <f t="shared" si="10"/>
        <v xml:space="preserve"> </v>
      </c>
    </row>
    <row r="629" spans="2:3">
      <c r="B629" s="3" t="s">
        <v>8</v>
      </c>
      <c r="C629" s="3" t="str">
        <f t="shared" si="10"/>
        <v xml:space="preserve"> </v>
      </c>
    </row>
    <row r="630" spans="2:3">
      <c r="B630" s="3" t="s">
        <v>8</v>
      </c>
      <c r="C630" s="3" t="str">
        <f t="shared" si="10"/>
        <v xml:space="preserve"> </v>
      </c>
    </row>
    <row r="631" spans="2:3">
      <c r="B631" s="3" t="s">
        <v>8</v>
      </c>
      <c r="C631" s="3" t="str">
        <f t="shared" si="10"/>
        <v xml:space="preserve"> </v>
      </c>
    </row>
    <row r="632" spans="2:3">
      <c r="B632" s="3" t="s">
        <v>8</v>
      </c>
      <c r="C632" s="3" t="str">
        <f t="shared" si="10"/>
        <v xml:space="preserve"> </v>
      </c>
    </row>
    <row r="633" spans="2:3">
      <c r="B633" s="3" t="s">
        <v>8</v>
      </c>
      <c r="C633" s="3" t="str">
        <f t="shared" si="10"/>
        <v xml:space="preserve"> </v>
      </c>
    </row>
    <row r="634" spans="2:3">
      <c r="B634" s="3" t="s">
        <v>8</v>
      </c>
      <c r="C634" s="3" t="str">
        <f t="shared" si="10"/>
        <v xml:space="preserve"> </v>
      </c>
    </row>
    <row r="635" spans="2:3">
      <c r="B635" s="3" t="s">
        <v>8</v>
      </c>
      <c r="C635" s="3" t="str">
        <f t="shared" si="10"/>
        <v xml:space="preserve"> </v>
      </c>
    </row>
    <row r="636" spans="2:3">
      <c r="B636" s="3" t="s">
        <v>8</v>
      </c>
      <c r="C636" s="3" t="str">
        <f t="shared" si="10"/>
        <v xml:space="preserve"> </v>
      </c>
    </row>
    <row r="637" spans="2:3">
      <c r="B637" s="3" t="s">
        <v>8</v>
      </c>
      <c r="C637" s="3" t="str">
        <f t="shared" si="10"/>
        <v xml:space="preserve"> </v>
      </c>
    </row>
    <row r="638" spans="2:3">
      <c r="B638" s="3" t="s">
        <v>8</v>
      </c>
      <c r="C638" s="3" t="str">
        <f t="shared" si="10"/>
        <v xml:space="preserve"> </v>
      </c>
    </row>
    <row r="639" spans="2:3">
      <c r="B639" s="3" t="s">
        <v>8</v>
      </c>
      <c r="C639" s="3" t="str">
        <f t="shared" si="10"/>
        <v xml:space="preserve"> </v>
      </c>
    </row>
    <row r="640" spans="2:3">
      <c r="B640" s="3" t="s">
        <v>8</v>
      </c>
      <c r="C640" s="3" t="str">
        <f t="shared" si="10"/>
        <v xml:space="preserve"> </v>
      </c>
    </row>
    <row r="641" spans="2:3">
      <c r="B641" s="3" t="s">
        <v>8</v>
      </c>
      <c r="C641" s="3" t="str">
        <f t="shared" si="10"/>
        <v xml:space="preserve"> </v>
      </c>
    </row>
    <row r="642" spans="2:3">
      <c r="B642" s="3" t="s">
        <v>8</v>
      </c>
      <c r="C642" s="3" t="str">
        <f t="shared" si="10"/>
        <v xml:space="preserve"> </v>
      </c>
    </row>
    <row r="643" spans="2:3">
      <c r="B643" s="3" t="s">
        <v>8</v>
      </c>
      <c r="C643" s="3" t="str">
        <f t="shared" ref="C643:C706" si="11">TEXT(B643, "mmm-yyyy")</f>
        <v xml:space="preserve"> </v>
      </c>
    </row>
    <row r="644" spans="2:3">
      <c r="B644" s="3" t="s">
        <v>8</v>
      </c>
      <c r="C644" s="3" t="str">
        <f t="shared" si="11"/>
        <v xml:space="preserve"> </v>
      </c>
    </row>
    <row r="645" spans="2:3">
      <c r="B645" s="3" t="s">
        <v>8</v>
      </c>
      <c r="C645" s="3" t="str">
        <f t="shared" si="11"/>
        <v xml:space="preserve"> </v>
      </c>
    </row>
    <row r="646" spans="2:3">
      <c r="B646" s="3" t="s">
        <v>8</v>
      </c>
      <c r="C646" s="3" t="str">
        <f t="shared" si="11"/>
        <v xml:space="preserve"> </v>
      </c>
    </row>
    <row r="647" spans="2:3">
      <c r="B647" s="3" t="s">
        <v>8</v>
      </c>
      <c r="C647" s="3" t="str">
        <f t="shared" si="11"/>
        <v xml:space="preserve"> </v>
      </c>
    </row>
    <row r="648" spans="2:3">
      <c r="B648" s="3" t="s">
        <v>8</v>
      </c>
      <c r="C648" s="3" t="str">
        <f t="shared" si="11"/>
        <v xml:space="preserve"> </v>
      </c>
    </row>
    <row r="649" spans="2:3">
      <c r="B649" s="3" t="s">
        <v>8</v>
      </c>
      <c r="C649" s="3" t="str">
        <f t="shared" si="11"/>
        <v xml:space="preserve"> </v>
      </c>
    </row>
    <row r="650" spans="2:3">
      <c r="B650" s="3" t="s">
        <v>8</v>
      </c>
      <c r="C650" s="3" t="str">
        <f t="shared" si="11"/>
        <v xml:space="preserve"> </v>
      </c>
    </row>
    <row r="651" spans="2:3">
      <c r="B651" s="3" t="s">
        <v>8</v>
      </c>
      <c r="C651" s="3" t="str">
        <f t="shared" si="11"/>
        <v xml:space="preserve"> </v>
      </c>
    </row>
    <row r="652" spans="2:3">
      <c r="B652" s="3" t="s">
        <v>8</v>
      </c>
      <c r="C652" s="3" t="str">
        <f t="shared" si="11"/>
        <v xml:space="preserve"> </v>
      </c>
    </row>
    <row r="653" spans="2:3">
      <c r="B653" s="3" t="s">
        <v>8</v>
      </c>
      <c r="C653" s="3" t="str">
        <f t="shared" si="11"/>
        <v xml:space="preserve"> </v>
      </c>
    </row>
    <row r="654" spans="2:3">
      <c r="B654" s="3" t="s">
        <v>8</v>
      </c>
      <c r="C654" s="3" t="str">
        <f t="shared" si="11"/>
        <v xml:space="preserve"> </v>
      </c>
    </row>
    <row r="655" spans="2:3">
      <c r="B655" s="3" t="s">
        <v>8</v>
      </c>
      <c r="C655" s="3" t="str">
        <f t="shared" si="11"/>
        <v xml:space="preserve"> </v>
      </c>
    </row>
    <row r="656" spans="2:3">
      <c r="B656" s="3" t="s">
        <v>8</v>
      </c>
      <c r="C656" s="3" t="str">
        <f t="shared" si="11"/>
        <v xml:space="preserve"> </v>
      </c>
    </row>
    <row r="657" spans="2:3">
      <c r="B657" s="3" t="s">
        <v>8</v>
      </c>
      <c r="C657" s="3" t="str">
        <f t="shared" si="11"/>
        <v xml:space="preserve"> </v>
      </c>
    </row>
    <row r="658" spans="2:3">
      <c r="B658" s="3" t="s">
        <v>8</v>
      </c>
      <c r="C658" s="3" t="str">
        <f t="shared" si="11"/>
        <v xml:space="preserve"> </v>
      </c>
    </row>
    <row r="659" spans="2:3">
      <c r="B659" s="3" t="s">
        <v>8</v>
      </c>
      <c r="C659" s="3" t="str">
        <f t="shared" si="11"/>
        <v xml:space="preserve"> </v>
      </c>
    </row>
    <row r="660" spans="2:3">
      <c r="B660" s="3" t="s">
        <v>8</v>
      </c>
      <c r="C660" s="3" t="str">
        <f t="shared" si="11"/>
        <v xml:space="preserve"> </v>
      </c>
    </row>
    <row r="661" spans="2:3">
      <c r="B661" s="3" t="s">
        <v>8</v>
      </c>
      <c r="C661" s="3" t="str">
        <f t="shared" si="11"/>
        <v xml:space="preserve"> </v>
      </c>
    </row>
    <row r="662" spans="2:3">
      <c r="B662" s="3" t="s">
        <v>8</v>
      </c>
      <c r="C662" s="3" t="str">
        <f t="shared" si="11"/>
        <v xml:space="preserve"> </v>
      </c>
    </row>
    <row r="663" spans="2:3">
      <c r="B663" s="3" t="s">
        <v>8</v>
      </c>
      <c r="C663" s="3" t="str">
        <f t="shared" si="11"/>
        <v xml:space="preserve"> </v>
      </c>
    </row>
    <row r="664" spans="2:3">
      <c r="B664" s="3" t="s">
        <v>8</v>
      </c>
      <c r="C664" s="3" t="str">
        <f t="shared" si="11"/>
        <v xml:space="preserve"> </v>
      </c>
    </row>
    <row r="665" spans="2:3">
      <c r="B665" s="3" t="s">
        <v>8</v>
      </c>
      <c r="C665" s="3" t="str">
        <f t="shared" si="11"/>
        <v xml:space="preserve"> </v>
      </c>
    </row>
    <row r="666" spans="2:3">
      <c r="B666" s="3" t="s">
        <v>8</v>
      </c>
      <c r="C666" s="3" t="str">
        <f t="shared" si="11"/>
        <v xml:space="preserve"> </v>
      </c>
    </row>
    <row r="667" spans="2:3">
      <c r="B667" s="3" t="s">
        <v>8</v>
      </c>
      <c r="C667" s="3" t="str">
        <f t="shared" si="11"/>
        <v xml:space="preserve"> </v>
      </c>
    </row>
    <row r="668" spans="2:3">
      <c r="B668" s="3" t="s">
        <v>8</v>
      </c>
      <c r="C668" s="3" t="str">
        <f t="shared" si="11"/>
        <v xml:space="preserve"> </v>
      </c>
    </row>
    <row r="669" spans="2:3">
      <c r="B669" s="3" t="s">
        <v>8</v>
      </c>
      <c r="C669" s="3" t="str">
        <f t="shared" si="11"/>
        <v xml:space="preserve"> </v>
      </c>
    </row>
    <row r="670" spans="2:3">
      <c r="B670" s="3" t="s">
        <v>8</v>
      </c>
      <c r="C670" s="3" t="str">
        <f t="shared" si="11"/>
        <v xml:space="preserve"> </v>
      </c>
    </row>
    <row r="671" spans="2:3">
      <c r="B671" s="3" t="s">
        <v>8</v>
      </c>
      <c r="C671" s="3" t="str">
        <f t="shared" si="11"/>
        <v xml:space="preserve"> </v>
      </c>
    </row>
    <row r="672" spans="2:3">
      <c r="B672" s="3" t="s">
        <v>8</v>
      </c>
      <c r="C672" s="3" t="str">
        <f t="shared" si="11"/>
        <v xml:space="preserve"> </v>
      </c>
    </row>
    <row r="673" spans="2:3">
      <c r="B673" s="3" t="s">
        <v>8</v>
      </c>
      <c r="C673" s="3" t="str">
        <f t="shared" si="11"/>
        <v xml:space="preserve"> </v>
      </c>
    </row>
    <row r="674" spans="2:3">
      <c r="B674" s="3" t="s">
        <v>8</v>
      </c>
      <c r="C674" s="3" t="str">
        <f t="shared" si="11"/>
        <v xml:space="preserve"> </v>
      </c>
    </row>
    <row r="675" spans="2:3">
      <c r="B675" s="3" t="s">
        <v>8</v>
      </c>
      <c r="C675" s="3" t="str">
        <f t="shared" si="11"/>
        <v xml:space="preserve"> </v>
      </c>
    </row>
    <row r="676" spans="2:3">
      <c r="B676" s="3" t="s">
        <v>8</v>
      </c>
      <c r="C676" s="3" t="str">
        <f t="shared" si="11"/>
        <v xml:space="preserve"> </v>
      </c>
    </row>
    <row r="677" spans="2:3">
      <c r="B677" s="3" t="s">
        <v>8</v>
      </c>
      <c r="C677" s="3" t="str">
        <f t="shared" si="11"/>
        <v xml:space="preserve"> </v>
      </c>
    </row>
    <row r="678" spans="2:3">
      <c r="B678" s="3" t="s">
        <v>8</v>
      </c>
      <c r="C678" s="3" t="str">
        <f t="shared" si="11"/>
        <v xml:space="preserve"> </v>
      </c>
    </row>
    <row r="679" spans="2:3">
      <c r="B679" s="3" t="s">
        <v>8</v>
      </c>
      <c r="C679" s="3" t="str">
        <f t="shared" si="11"/>
        <v xml:space="preserve"> </v>
      </c>
    </row>
    <row r="680" spans="2:3">
      <c r="B680" s="3" t="s">
        <v>8</v>
      </c>
      <c r="C680" s="3" t="str">
        <f t="shared" si="11"/>
        <v xml:space="preserve"> </v>
      </c>
    </row>
    <row r="681" spans="2:3">
      <c r="B681" s="3" t="s">
        <v>8</v>
      </c>
      <c r="C681" s="3" t="str">
        <f t="shared" si="11"/>
        <v xml:space="preserve"> </v>
      </c>
    </row>
    <row r="682" spans="2:3">
      <c r="B682" s="3" t="s">
        <v>8</v>
      </c>
      <c r="C682" s="3" t="str">
        <f t="shared" si="11"/>
        <v xml:space="preserve"> </v>
      </c>
    </row>
    <row r="683" spans="2:3">
      <c r="B683" s="3" t="s">
        <v>8</v>
      </c>
      <c r="C683" s="3" t="str">
        <f t="shared" si="11"/>
        <v xml:space="preserve"> </v>
      </c>
    </row>
    <row r="684" spans="2:3">
      <c r="B684" s="3" t="s">
        <v>8</v>
      </c>
      <c r="C684" s="3" t="str">
        <f t="shared" si="11"/>
        <v xml:space="preserve"> </v>
      </c>
    </row>
    <row r="685" spans="2:3">
      <c r="B685" s="3" t="s">
        <v>8</v>
      </c>
      <c r="C685" s="3" t="str">
        <f t="shared" si="11"/>
        <v xml:space="preserve"> </v>
      </c>
    </row>
    <row r="686" spans="2:3">
      <c r="B686" s="3" t="s">
        <v>8</v>
      </c>
      <c r="C686" s="3" t="str">
        <f t="shared" si="11"/>
        <v xml:space="preserve"> </v>
      </c>
    </row>
    <row r="687" spans="2:3">
      <c r="B687" s="3" t="s">
        <v>8</v>
      </c>
      <c r="C687" s="3" t="str">
        <f t="shared" si="11"/>
        <v xml:space="preserve"> </v>
      </c>
    </row>
    <row r="688" spans="2:3">
      <c r="B688" s="3" t="s">
        <v>8</v>
      </c>
      <c r="C688" s="3" t="str">
        <f t="shared" si="11"/>
        <v xml:space="preserve"> </v>
      </c>
    </row>
    <row r="689" spans="2:3">
      <c r="B689" s="3" t="s">
        <v>8</v>
      </c>
      <c r="C689" s="3" t="str">
        <f t="shared" si="11"/>
        <v xml:space="preserve"> </v>
      </c>
    </row>
    <row r="690" spans="2:3">
      <c r="B690" s="3" t="s">
        <v>8</v>
      </c>
      <c r="C690" s="3" t="str">
        <f t="shared" si="11"/>
        <v xml:space="preserve"> </v>
      </c>
    </row>
    <row r="691" spans="2:3">
      <c r="B691" s="3" t="s">
        <v>8</v>
      </c>
      <c r="C691" s="3" t="str">
        <f t="shared" si="11"/>
        <v xml:space="preserve"> </v>
      </c>
    </row>
    <row r="692" spans="2:3">
      <c r="B692" s="3" t="s">
        <v>8</v>
      </c>
      <c r="C692" s="3" t="str">
        <f t="shared" si="11"/>
        <v xml:space="preserve"> </v>
      </c>
    </row>
    <row r="693" spans="2:3">
      <c r="B693" s="3" t="s">
        <v>8</v>
      </c>
      <c r="C693" s="3" t="str">
        <f t="shared" si="11"/>
        <v xml:space="preserve"> </v>
      </c>
    </row>
    <row r="694" spans="2:3">
      <c r="B694" s="3" t="s">
        <v>8</v>
      </c>
      <c r="C694" s="3" t="str">
        <f t="shared" si="11"/>
        <v xml:space="preserve"> </v>
      </c>
    </row>
    <row r="695" spans="2:3">
      <c r="B695" s="3" t="s">
        <v>8</v>
      </c>
      <c r="C695" s="3" t="str">
        <f t="shared" si="11"/>
        <v xml:space="preserve"> </v>
      </c>
    </row>
    <row r="696" spans="2:3">
      <c r="B696" s="3" t="s">
        <v>8</v>
      </c>
      <c r="C696" s="3" t="str">
        <f t="shared" si="11"/>
        <v xml:space="preserve"> </v>
      </c>
    </row>
    <row r="697" spans="2:3">
      <c r="B697" s="3" t="s">
        <v>8</v>
      </c>
      <c r="C697" s="3" t="str">
        <f t="shared" si="11"/>
        <v xml:space="preserve"> </v>
      </c>
    </row>
    <row r="698" spans="2:3">
      <c r="B698" s="3" t="s">
        <v>8</v>
      </c>
      <c r="C698" s="3" t="str">
        <f t="shared" si="11"/>
        <v xml:space="preserve"> </v>
      </c>
    </row>
    <row r="699" spans="2:3">
      <c r="B699" s="3" t="s">
        <v>8</v>
      </c>
      <c r="C699" s="3" t="str">
        <f t="shared" si="11"/>
        <v xml:space="preserve"> </v>
      </c>
    </row>
    <row r="700" spans="2:3">
      <c r="B700" s="3" t="s">
        <v>8</v>
      </c>
      <c r="C700" s="3" t="str">
        <f t="shared" si="11"/>
        <v xml:space="preserve"> </v>
      </c>
    </row>
    <row r="701" spans="2:3">
      <c r="B701" s="3" t="s">
        <v>8</v>
      </c>
      <c r="C701" s="3" t="str">
        <f t="shared" si="11"/>
        <v xml:space="preserve"> </v>
      </c>
    </row>
    <row r="702" spans="2:3">
      <c r="B702" s="3" t="s">
        <v>8</v>
      </c>
      <c r="C702" s="3" t="str">
        <f t="shared" si="11"/>
        <v xml:space="preserve"> </v>
      </c>
    </row>
    <row r="703" spans="2:3">
      <c r="B703" s="3" t="s">
        <v>8</v>
      </c>
      <c r="C703" s="3" t="str">
        <f t="shared" si="11"/>
        <v xml:space="preserve"> </v>
      </c>
    </row>
    <row r="704" spans="2:3">
      <c r="B704" s="3" t="s">
        <v>8</v>
      </c>
      <c r="C704" s="3" t="str">
        <f t="shared" si="11"/>
        <v xml:space="preserve"> </v>
      </c>
    </row>
    <row r="705" spans="2:3">
      <c r="B705" s="3" t="s">
        <v>8</v>
      </c>
      <c r="C705" s="3" t="str">
        <f t="shared" si="11"/>
        <v xml:space="preserve"> </v>
      </c>
    </row>
    <row r="706" spans="2:3">
      <c r="B706" s="3" t="s">
        <v>8</v>
      </c>
      <c r="C706" s="3" t="str">
        <f t="shared" si="11"/>
        <v xml:space="preserve"> </v>
      </c>
    </row>
    <row r="707" spans="2:3">
      <c r="B707" s="3" t="s">
        <v>8</v>
      </c>
      <c r="C707" s="3" t="str">
        <f t="shared" ref="C707:C731" si="12">TEXT(B707, "mmm-yyyy")</f>
        <v xml:space="preserve"> </v>
      </c>
    </row>
    <row r="708" spans="2:3">
      <c r="B708" s="3" t="s">
        <v>8</v>
      </c>
      <c r="C708" s="3" t="str">
        <f t="shared" si="12"/>
        <v xml:space="preserve"> </v>
      </c>
    </row>
    <row r="709" spans="2:3">
      <c r="B709" s="3" t="s">
        <v>8</v>
      </c>
      <c r="C709" s="3" t="str">
        <f t="shared" si="12"/>
        <v xml:space="preserve"> </v>
      </c>
    </row>
    <row r="710" spans="2:3">
      <c r="B710" s="3" t="s">
        <v>8</v>
      </c>
      <c r="C710" s="3" t="str">
        <f t="shared" si="12"/>
        <v xml:space="preserve"> </v>
      </c>
    </row>
    <row r="711" spans="2:3">
      <c r="B711" s="3" t="s">
        <v>8</v>
      </c>
      <c r="C711" s="3" t="str">
        <f t="shared" si="12"/>
        <v xml:space="preserve"> </v>
      </c>
    </row>
    <row r="712" spans="2:3">
      <c r="B712" s="3" t="s">
        <v>8</v>
      </c>
      <c r="C712" s="3" t="str">
        <f t="shared" si="12"/>
        <v xml:space="preserve"> </v>
      </c>
    </row>
    <row r="713" spans="2:3">
      <c r="B713" s="3" t="s">
        <v>8</v>
      </c>
      <c r="C713" s="3" t="str">
        <f t="shared" si="12"/>
        <v xml:space="preserve"> </v>
      </c>
    </row>
    <row r="714" spans="2:3">
      <c r="B714" s="3" t="s">
        <v>8</v>
      </c>
      <c r="C714" s="3" t="str">
        <f t="shared" si="12"/>
        <v xml:space="preserve"> </v>
      </c>
    </row>
    <row r="715" spans="2:3">
      <c r="B715" s="3" t="s">
        <v>8</v>
      </c>
      <c r="C715" s="3" t="str">
        <f t="shared" si="12"/>
        <v xml:space="preserve"> </v>
      </c>
    </row>
    <row r="716" spans="2:3">
      <c r="B716" s="3" t="s">
        <v>8</v>
      </c>
      <c r="C716" s="3" t="str">
        <f t="shared" si="12"/>
        <v xml:space="preserve"> </v>
      </c>
    </row>
    <row r="717" spans="2:3">
      <c r="B717" s="3" t="s">
        <v>8</v>
      </c>
      <c r="C717" s="3" t="str">
        <f t="shared" si="12"/>
        <v xml:space="preserve"> </v>
      </c>
    </row>
    <row r="718" spans="2:3">
      <c r="B718" s="3" t="s">
        <v>8</v>
      </c>
      <c r="C718" s="3" t="str">
        <f t="shared" si="12"/>
        <v xml:space="preserve"> </v>
      </c>
    </row>
    <row r="719" spans="2:3">
      <c r="B719" s="3" t="s">
        <v>8</v>
      </c>
      <c r="C719" s="3" t="str">
        <f t="shared" si="12"/>
        <v xml:space="preserve"> </v>
      </c>
    </row>
    <row r="720" spans="2:3">
      <c r="B720" s="3" t="s">
        <v>8</v>
      </c>
      <c r="C720" s="3" t="str">
        <f t="shared" si="12"/>
        <v xml:space="preserve"> </v>
      </c>
    </row>
    <row r="721" spans="2:3">
      <c r="B721" s="3" t="s">
        <v>8</v>
      </c>
      <c r="C721" s="3" t="str">
        <f t="shared" si="12"/>
        <v xml:space="preserve"> </v>
      </c>
    </row>
    <row r="722" spans="2:3">
      <c r="B722" s="3" t="s">
        <v>8</v>
      </c>
      <c r="C722" s="3" t="str">
        <f t="shared" si="12"/>
        <v xml:space="preserve"> </v>
      </c>
    </row>
    <row r="723" spans="2:3">
      <c r="B723" s="3" t="s">
        <v>8</v>
      </c>
      <c r="C723" s="3" t="str">
        <f t="shared" si="12"/>
        <v xml:space="preserve"> </v>
      </c>
    </row>
    <row r="724" spans="2:3">
      <c r="B724" s="3" t="s">
        <v>8</v>
      </c>
      <c r="C724" s="3" t="str">
        <f t="shared" si="12"/>
        <v xml:space="preserve"> </v>
      </c>
    </row>
    <row r="725" spans="2:3">
      <c r="B725" s="3" t="s">
        <v>8</v>
      </c>
      <c r="C725" s="3" t="str">
        <f t="shared" si="12"/>
        <v xml:space="preserve"> </v>
      </c>
    </row>
    <row r="726" spans="2:3">
      <c r="B726" s="3" t="s">
        <v>8</v>
      </c>
      <c r="C726" s="3" t="str">
        <f t="shared" si="12"/>
        <v xml:space="preserve"> </v>
      </c>
    </row>
    <row r="727" spans="2:3">
      <c r="B727" s="3" t="s">
        <v>8</v>
      </c>
      <c r="C727" s="3" t="str">
        <f t="shared" si="12"/>
        <v xml:space="preserve"> </v>
      </c>
    </row>
    <row r="728" spans="2:3">
      <c r="B728" s="3" t="s">
        <v>8</v>
      </c>
      <c r="C728" s="3" t="str">
        <f t="shared" si="12"/>
        <v xml:space="preserve"> </v>
      </c>
    </row>
    <row r="729" spans="2:3">
      <c r="B729" s="3" t="s">
        <v>8</v>
      </c>
      <c r="C729" s="3" t="str">
        <f t="shared" si="12"/>
        <v xml:space="preserve"> </v>
      </c>
    </row>
    <row r="730" spans="2:3">
      <c r="B730" s="3" t="s">
        <v>8</v>
      </c>
      <c r="C730" s="3" t="str">
        <f t="shared" si="12"/>
        <v xml:space="preserve"> </v>
      </c>
    </row>
    <row r="731" spans="2:3">
      <c r="B731" s="3" t="s">
        <v>8</v>
      </c>
      <c r="C731" s="3" t="str">
        <f t="shared" si="12"/>
        <v xml:space="preserve"> </v>
      </c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3"/>
  <sheetViews>
    <sheetView topLeftCell="A6" zoomScale="55" zoomScaleNormal="55" workbookViewId="0">
      <selection activeCell="L15" sqref="L15"/>
    </sheetView>
  </sheetViews>
  <sheetFormatPr defaultRowHeight="15"/>
  <cols>
    <col min="1" max="1" width="30" customWidth="1"/>
    <col min="2" max="2" width="28" customWidth="1"/>
    <col min="3" max="3" width="42.42578125" customWidth="1"/>
    <col min="4" max="4" width="20.140625" customWidth="1"/>
    <col min="5" max="5" width="36.7109375" customWidth="1"/>
    <col min="6" max="6" width="42.28515625" customWidth="1"/>
    <col min="7" max="7" width="26.28515625" customWidth="1"/>
    <col min="8" max="8" width="25.5703125" customWidth="1"/>
    <col min="9" max="9" width="41.140625" customWidth="1"/>
    <col min="10" max="10" width="20.28515625" customWidth="1"/>
    <col min="11" max="11" width="16.5703125" customWidth="1"/>
    <col min="12" max="12" width="21.85546875" customWidth="1"/>
  </cols>
  <sheetData>
    <row r="4" spans="1:11" ht="18.75">
      <c r="A4" s="6"/>
      <c r="B4" s="6"/>
      <c r="C4" s="6"/>
    </row>
    <row r="7" spans="1:11" ht="18.75">
      <c r="C7" s="5" t="s">
        <v>36</v>
      </c>
      <c r="F7" s="5" t="s">
        <v>37</v>
      </c>
      <c r="I7" s="5" t="s">
        <v>35</v>
      </c>
      <c r="J7" t="s">
        <v>8</v>
      </c>
      <c r="K7" t="s">
        <v>8</v>
      </c>
    </row>
    <row r="8" spans="1:11" ht="18.75">
      <c r="C8" s="5">
        <f>SUM(' Sales_Data'!J:J)</f>
        <v>10200000</v>
      </c>
      <c r="F8" s="5">
        <f>SUM(' Sales_Data'!H:H)</f>
        <v>269</v>
      </c>
      <c r="I8" s="5">
        <f>AVERAGE(' Sales_Data'!J2:J13)</f>
        <v>850000</v>
      </c>
    </row>
    <row r="9" spans="1:11" ht="18.75">
      <c r="C9" s="5" t="s">
        <v>16</v>
      </c>
    </row>
    <row r="10" spans="1:11">
      <c r="C10" s="7" t="s">
        <v>17</v>
      </c>
      <c r="D10" t="s">
        <v>20</v>
      </c>
      <c r="F10" s="7" t="s">
        <v>17</v>
      </c>
      <c r="G10" t="s">
        <v>34</v>
      </c>
      <c r="I10" s="7" t="s">
        <v>17</v>
      </c>
      <c r="J10" t="s">
        <v>20</v>
      </c>
    </row>
    <row r="11" spans="1:11">
      <c r="C11" s="8" t="s">
        <v>9</v>
      </c>
      <c r="D11" s="9">
        <v>2970000</v>
      </c>
      <c r="F11" s="8" t="s">
        <v>12</v>
      </c>
      <c r="G11" s="9">
        <v>127</v>
      </c>
      <c r="I11" s="8" t="s">
        <v>22</v>
      </c>
      <c r="J11" s="9">
        <v>720000</v>
      </c>
    </row>
    <row r="12" spans="1:11">
      <c r="C12" s="8" t="s">
        <v>11</v>
      </c>
      <c r="D12" s="9">
        <v>4020000</v>
      </c>
      <c r="F12" s="8" t="s">
        <v>13</v>
      </c>
      <c r="G12" s="9">
        <v>142</v>
      </c>
      <c r="I12" s="8" t="s">
        <v>23</v>
      </c>
      <c r="J12" s="9">
        <v>1170000</v>
      </c>
    </row>
    <row r="13" spans="1:11">
      <c r="C13" s="8" t="s">
        <v>10</v>
      </c>
      <c r="D13" s="9">
        <v>3210000</v>
      </c>
      <c r="F13" s="8" t="s">
        <v>18</v>
      </c>
      <c r="G13" s="9"/>
      <c r="I13" s="8" t="s">
        <v>24</v>
      </c>
      <c r="J13" s="9">
        <v>1800000</v>
      </c>
    </row>
    <row r="14" spans="1:11">
      <c r="C14" s="8" t="s">
        <v>18</v>
      </c>
      <c r="D14" s="9"/>
      <c r="F14" s="8" t="s">
        <v>19</v>
      </c>
      <c r="G14" s="9">
        <v>269</v>
      </c>
      <c r="I14" s="8" t="s">
        <v>25</v>
      </c>
      <c r="J14" s="9">
        <v>450000</v>
      </c>
    </row>
    <row r="15" spans="1:11">
      <c r="C15" s="8" t="s">
        <v>19</v>
      </c>
      <c r="D15" s="9">
        <v>10200000</v>
      </c>
      <c r="I15" s="8" t="s">
        <v>26</v>
      </c>
      <c r="J15" s="9">
        <v>150000</v>
      </c>
    </row>
    <row r="16" spans="1:11">
      <c r="I16" s="8" t="s">
        <v>27</v>
      </c>
      <c r="J16" s="9">
        <v>750000</v>
      </c>
    </row>
    <row r="17" spans="9:10">
      <c r="I17" s="8" t="s">
        <v>28</v>
      </c>
      <c r="J17" s="9">
        <v>900000</v>
      </c>
    </row>
    <row r="18" spans="9:10">
      <c r="I18" s="8" t="s">
        <v>29</v>
      </c>
      <c r="J18" s="9">
        <v>450000</v>
      </c>
    </row>
    <row r="19" spans="9:10">
      <c r="I19" s="8" t="s">
        <v>30</v>
      </c>
      <c r="J19" s="9">
        <v>540000</v>
      </c>
    </row>
    <row r="20" spans="9:10">
      <c r="I20" s="8" t="s">
        <v>31</v>
      </c>
      <c r="J20" s="9">
        <v>1050000</v>
      </c>
    </row>
    <row r="21" spans="9:10">
      <c r="I21" s="8" t="s">
        <v>32</v>
      </c>
      <c r="J21" s="9">
        <v>1350000</v>
      </c>
    </row>
    <row r="22" spans="9:10">
      <c r="I22" s="8" t="s">
        <v>33</v>
      </c>
      <c r="J22" s="9">
        <v>870000</v>
      </c>
    </row>
    <row r="23" spans="9:10">
      <c r="I23" s="8" t="s">
        <v>19</v>
      </c>
      <c r="J23" s="9">
        <v>10200000</v>
      </c>
    </row>
    <row r="35" spans="3:8" ht="18">
      <c r="C35" s="10" t="s">
        <v>38</v>
      </c>
      <c r="F35" s="10" t="s">
        <v>42</v>
      </c>
    </row>
    <row r="36" spans="3:8">
      <c r="C36" s="11"/>
      <c r="F36" s="11"/>
    </row>
    <row r="37" spans="3:8" ht="21">
      <c r="C37" s="13" t="s">
        <v>39</v>
      </c>
      <c r="D37" s="13"/>
      <c r="E37" s="14"/>
      <c r="F37" s="15" t="s">
        <v>43</v>
      </c>
      <c r="G37" s="14"/>
      <c r="H37" s="14"/>
    </row>
    <row r="38" spans="3:8" ht="21">
      <c r="C38" s="13"/>
      <c r="D38" s="13"/>
      <c r="E38" s="14"/>
      <c r="F38" s="15"/>
      <c r="G38" s="14"/>
      <c r="H38" s="14"/>
    </row>
    <row r="39" spans="3:8" ht="21">
      <c r="C39" s="13" t="s">
        <v>40</v>
      </c>
      <c r="D39" s="13"/>
      <c r="E39" s="14"/>
      <c r="F39" s="15" t="s">
        <v>44</v>
      </c>
      <c r="G39" s="14"/>
      <c r="H39" s="14"/>
    </row>
    <row r="40" spans="3:8" ht="21">
      <c r="C40" s="13"/>
      <c r="D40" s="13"/>
      <c r="E40" s="14"/>
      <c r="F40" s="15"/>
      <c r="G40" s="14"/>
      <c r="H40" s="14"/>
    </row>
    <row r="41" spans="3:8" ht="21">
      <c r="C41" s="13" t="s">
        <v>41</v>
      </c>
      <c r="D41" s="13"/>
      <c r="E41" s="14"/>
      <c r="F41" s="15" t="s">
        <v>45</v>
      </c>
      <c r="G41" s="14"/>
      <c r="H41" s="14"/>
    </row>
    <row r="42" spans="3:8" ht="23.25">
      <c r="C42" s="16"/>
      <c r="D42" s="16"/>
      <c r="E42" s="17"/>
      <c r="F42" s="17"/>
      <c r="G42" s="17"/>
      <c r="H42" s="17"/>
    </row>
    <row r="43" spans="3:8" ht="23.25">
      <c r="C43" s="17"/>
      <c r="D43" s="17"/>
      <c r="E43" s="17"/>
      <c r="F43" s="17"/>
      <c r="G43" s="17"/>
      <c r="H43" s="17"/>
    </row>
  </sheetData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zoomScale="85" zoomScaleNormal="85" workbookViewId="0">
      <selection activeCell="M9" sqref="M9"/>
    </sheetView>
  </sheetViews>
  <sheetFormatPr defaultRowHeight="15"/>
  <cols>
    <col min="1" max="1" width="14.7109375" customWidth="1"/>
    <col min="2" max="2" width="11.42578125" customWidth="1"/>
    <col min="3" max="3" width="17.140625" customWidth="1"/>
    <col min="4" max="4" width="12.7109375" customWidth="1"/>
    <col min="5" max="5" width="23.5703125" style="12" customWidth="1"/>
    <col min="6" max="6" width="21.5703125" customWidth="1"/>
    <col min="7" max="7" width="12.85546875" customWidth="1"/>
    <col min="8" max="8" width="11.85546875" customWidth="1"/>
    <col min="9" max="9" width="23.5703125" customWidth="1"/>
    <col min="10" max="10" width="17.28515625" customWidth="1"/>
  </cols>
  <sheetData>
    <row r="1" spans="1:10" s="4" customFormat="1">
      <c r="A1" s="4" t="s">
        <v>51</v>
      </c>
      <c r="B1" s="4" t="s">
        <v>1</v>
      </c>
      <c r="C1" s="4" t="s">
        <v>2</v>
      </c>
      <c r="D1" s="4" t="s">
        <v>46</v>
      </c>
      <c r="E1" s="25" t="s">
        <v>47</v>
      </c>
      <c r="F1" s="4" t="s">
        <v>48</v>
      </c>
      <c r="G1" s="4" t="s">
        <v>49</v>
      </c>
      <c r="H1" s="18" t="s">
        <v>6</v>
      </c>
      <c r="I1" s="4" t="s">
        <v>117</v>
      </c>
      <c r="J1" s="4" t="s">
        <v>118</v>
      </c>
    </row>
    <row r="2" spans="1:10">
      <c r="A2" t="s">
        <v>50</v>
      </c>
      <c r="B2" t="s">
        <v>101</v>
      </c>
      <c r="C2" t="s">
        <v>103</v>
      </c>
      <c r="D2" s="19">
        <v>45658</v>
      </c>
      <c r="E2" s="23">
        <f>EDATE(D2,6)</f>
        <v>45839</v>
      </c>
      <c r="F2" s="21">
        <f>E2</f>
        <v>45839</v>
      </c>
      <c r="G2" s="22" t="s">
        <v>104</v>
      </c>
      <c r="H2">
        <f xml:space="preserve"> IF(C2="Data Analytics",30000,45000)</f>
        <v>30000</v>
      </c>
      <c r="I2">
        <f>IFERROR(IF(OR(F2="",F2&lt;D2),"",DATEDIF(D2,F2,"M")),"")</f>
        <v>6</v>
      </c>
      <c r="J2">
        <f>IF(G2="Dropped",1,0)</f>
        <v>0</v>
      </c>
    </row>
    <row r="3" spans="1:10">
      <c r="A3" t="s">
        <v>52</v>
      </c>
      <c r="B3" t="s">
        <v>102</v>
      </c>
      <c r="C3" t="s">
        <v>13</v>
      </c>
      <c r="D3" s="20">
        <v>45689</v>
      </c>
      <c r="E3" s="23">
        <f t="shared" ref="E3:E52" si="0">EDATE(D3,6)</f>
        <v>45870</v>
      </c>
      <c r="F3" s="23">
        <v>45778</v>
      </c>
      <c r="G3" s="24" t="s">
        <v>106</v>
      </c>
      <c r="H3">
        <f t="shared" ref="H3:H52" si="1" xml:space="preserve"> IF(C3="Data Analytics",30000,45000)</f>
        <v>45000</v>
      </c>
      <c r="I3">
        <f t="shared" ref="I3:I52" si="2">IFERROR(IF(OR(F3="",F3&lt;D3),"",DATEDIF(D3,F3,"M")),"")</f>
        <v>3</v>
      </c>
      <c r="J3">
        <f t="shared" ref="J3:J52" si="3">IF(G3="Dropped",1,0)</f>
        <v>1</v>
      </c>
    </row>
    <row r="4" spans="1:10">
      <c r="A4" t="s">
        <v>53</v>
      </c>
      <c r="B4" t="s">
        <v>11</v>
      </c>
      <c r="C4" t="s">
        <v>103</v>
      </c>
      <c r="D4" s="19">
        <v>45717</v>
      </c>
      <c r="E4" s="23">
        <f t="shared" si="0"/>
        <v>45901</v>
      </c>
      <c r="F4" s="19" t="s">
        <v>8</v>
      </c>
      <c r="G4" s="22" t="s">
        <v>105</v>
      </c>
      <c r="H4">
        <f t="shared" si="1"/>
        <v>30000</v>
      </c>
      <c r="I4" t="str">
        <f t="shared" si="2"/>
        <v/>
      </c>
      <c r="J4">
        <f t="shared" si="3"/>
        <v>0</v>
      </c>
    </row>
    <row r="5" spans="1:10">
      <c r="A5" t="s">
        <v>54</v>
      </c>
      <c r="B5" t="s">
        <v>101</v>
      </c>
      <c r="C5" t="s">
        <v>13</v>
      </c>
      <c r="D5" s="20">
        <v>45748</v>
      </c>
      <c r="E5" s="23">
        <f t="shared" si="0"/>
        <v>45931</v>
      </c>
      <c r="F5" s="19">
        <f>E5</f>
        <v>45931</v>
      </c>
      <c r="G5" s="22" t="s">
        <v>104</v>
      </c>
      <c r="H5">
        <f t="shared" si="1"/>
        <v>45000</v>
      </c>
      <c r="I5">
        <f t="shared" si="2"/>
        <v>6</v>
      </c>
      <c r="J5">
        <f t="shared" si="3"/>
        <v>0</v>
      </c>
    </row>
    <row r="6" spans="1:10">
      <c r="A6" t="s">
        <v>55</v>
      </c>
      <c r="B6" t="s">
        <v>102</v>
      </c>
      <c r="C6" t="s">
        <v>103</v>
      </c>
      <c r="D6" s="19">
        <v>45778</v>
      </c>
      <c r="E6" s="23">
        <f t="shared" si="0"/>
        <v>45962</v>
      </c>
      <c r="F6" s="19" t="s">
        <v>107</v>
      </c>
      <c r="G6" s="24" t="s">
        <v>106</v>
      </c>
      <c r="H6">
        <f t="shared" si="1"/>
        <v>30000</v>
      </c>
      <c r="I6" t="str">
        <f t="shared" si="2"/>
        <v/>
      </c>
      <c r="J6">
        <f t="shared" si="3"/>
        <v>1</v>
      </c>
    </row>
    <row r="7" spans="1:10">
      <c r="A7" t="s">
        <v>56</v>
      </c>
      <c r="B7" t="s">
        <v>11</v>
      </c>
      <c r="C7" t="s">
        <v>13</v>
      </c>
      <c r="D7" s="20">
        <v>45809</v>
      </c>
      <c r="E7" s="23">
        <f t="shared" si="0"/>
        <v>45992</v>
      </c>
      <c r="F7" s="21">
        <f>E7</f>
        <v>45992</v>
      </c>
      <c r="G7" s="22" t="s">
        <v>104</v>
      </c>
      <c r="H7">
        <f t="shared" si="1"/>
        <v>45000</v>
      </c>
      <c r="I7">
        <f t="shared" si="2"/>
        <v>6</v>
      </c>
      <c r="J7">
        <f t="shared" si="3"/>
        <v>0</v>
      </c>
    </row>
    <row r="8" spans="1:10">
      <c r="A8" t="s">
        <v>57</v>
      </c>
      <c r="B8" t="s">
        <v>101</v>
      </c>
      <c r="C8" t="s">
        <v>103</v>
      </c>
      <c r="D8" s="19">
        <v>45839</v>
      </c>
      <c r="E8" s="23">
        <f t="shared" si="0"/>
        <v>46023</v>
      </c>
      <c r="F8" s="23">
        <v>45779</v>
      </c>
      <c r="G8" s="24" t="s">
        <v>106</v>
      </c>
      <c r="H8">
        <f t="shared" si="1"/>
        <v>30000</v>
      </c>
      <c r="I8" t="str">
        <f t="shared" si="2"/>
        <v/>
      </c>
      <c r="J8">
        <f t="shared" si="3"/>
        <v>1</v>
      </c>
    </row>
    <row r="9" spans="1:10">
      <c r="A9" t="s">
        <v>58</v>
      </c>
      <c r="B9" t="s">
        <v>102</v>
      </c>
      <c r="C9" t="s">
        <v>13</v>
      </c>
      <c r="D9" s="20">
        <v>45870</v>
      </c>
      <c r="E9" s="23">
        <f t="shared" si="0"/>
        <v>46054</v>
      </c>
      <c r="F9" s="19" t="s">
        <v>8</v>
      </c>
      <c r="G9" s="22" t="s">
        <v>105</v>
      </c>
      <c r="H9">
        <f t="shared" si="1"/>
        <v>45000</v>
      </c>
      <c r="I9" t="str">
        <f t="shared" si="2"/>
        <v/>
      </c>
      <c r="J9">
        <f t="shared" si="3"/>
        <v>0</v>
      </c>
    </row>
    <row r="10" spans="1:10">
      <c r="A10" t="s">
        <v>59</v>
      </c>
      <c r="B10" t="s">
        <v>11</v>
      </c>
      <c r="C10" t="s">
        <v>103</v>
      </c>
      <c r="D10" s="19">
        <v>45901</v>
      </c>
      <c r="E10" s="23">
        <f t="shared" si="0"/>
        <v>46082</v>
      </c>
      <c r="F10" s="19">
        <f>E10</f>
        <v>46082</v>
      </c>
      <c r="G10" s="22" t="s">
        <v>104</v>
      </c>
      <c r="H10">
        <f t="shared" si="1"/>
        <v>30000</v>
      </c>
      <c r="I10">
        <f t="shared" si="2"/>
        <v>6</v>
      </c>
      <c r="J10">
        <f t="shared" si="3"/>
        <v>0</v>
      </c>
    </row>
    <row r="11" spans="1:10">
      <c r="A11" t="s">
        <v>60</v>
      </c>
      <c r="B11" t="s">
        <v>101</v>
      </c>
      <c r="C11" t="s">
        <v>13</v>
      </c>
      <c r="D11" s="20">
        <v>45931</v>
      </c>
      <c r="E11" s="23">
        <f t="shared" si="0"/>
        <v>46113</v>
      </c>
      <c r="F11" s="19" t="s">
        <v>108</v>
      </c>
      <c r="G11" s="24" t="s">
        <v>106</v>
      </c>
      <c r="H11">
        <f t="shared" si="1"/>
        <v>45000</v>
      </c>
      <c r="I11" t="str">
        <f t="shared" si="2"/>
        <v/>
      </c>
      <c r="J11">
        <f t="shared" si="3"/>
        <v>1</v>
      </c>
    </row>
    <row r="12" spans="1:10">
      <c r="A12" t="s">
        <v>61</v>
      </c>
      <c r="B12" t="s">
        <v>102</v>
      </c>
      <c r="C12" t="s">
        <v>103</v>
      </c>
      <c r="D12" s="19">
        <v>45962</v>
      </c>
      <c r="E12" s="23">
        <f t="shared" si="0"/>
        <v>46143</v>
      </c>
      <c r="F12" s="21">
        <f>E12</f>
        <v>46143</v>
      </c>
      <c r="G12" s="22" t="s">
        <v>104</v>
      </c>
      <c r="H12">
        <f t="shared" si="1"/>
        <v>30000</v>
      </c>
      <c r="I12">
        <f t="shared" si="2"/>
        <v>6</v>
      </c>
      <c r="J12">
        <f t="shared" si="3"/>
        <v>0</v>
      </c>
    </row>
    <row r="13" spans="1:10">
      <c r="A13" t="s">
        <v>62</v>
      </c>
      <c r="B13" t="s">
        <v>11</v>
      </c>
      <c r="C13" t="s">
        <v>13</v>
      </c>
      <c r="D13" s="20">
        <v>45992</v>
      </c>
      <c r="E13" s="23">
        <f t="shared" si="0"/>
        <v>46174</v>
      </c>
      <c r="F13" s="23">
        <f xml:space="preserve"> D13+90</f>
        <v>46082</v>
      </c>
      <c r="G13" s="24" t="s">
        <v>106</v>
      </c>
      <c r="H13">
        <f t="shared" si="1"/>
        <v>45000</v>
      </c>
      <c r="I13">
        <f t="shared" si="2"/>
        <v>3</v>
      </c>
      <c r="J13">
        <f t="shared" si="3"/>
        <v>1</v>
      </c>
    </row>
    <row r="14" spans="1:10">
      <c r="A14" t="s">
        <v>63</v>
      </c>
      <c r="B14" t="s">
        <v>101</v>
      </c>
      <c r="C14" t="s">
        <v>103</v>
      </c>
      <c r="D14" s="19">
        <v>46023</v>
      </c>
      <c r="E14" s="23">
        <f t="shared" si="0"/>
        <v>46204</v>
      </c>
      <c r="F14" s="19" t="s">
        <v>8</v>
      </c>
      <c r="G14" s="22" t="s">
        <v>105</v>
      </c>
      <c r="H14">
        <f t="shared" si="1"/>
        <v>30000</v>
      </c>
      <c r="I14" t="str">
        <f t="shared" si="2"/>
        <v/>
      </c>
      <c r="J14">
        <f t="shared" si="3"/>
        <v>0</v>
      </c>
    </row>
    <row r="15" spans="1:10">
      <c r="A15" t="s">
        <v>64</v>
      </c>
      <c r="B15" t="s">
        <v>102</v>
      </c>
      <c r="C15" t="s">
        <v>13</v>
      </c>
      <c r="D15" s="20">
        <v>46054</v>
      </c>
      <c r="E15" s="23">
        <f t="shared" si="0"/>
        <v>46235</v>
      </c>
      <c r="F15" s="19">
        <f>E15</f>
        <v>46235</v>
      </c>
      <c r="G15" s="22" t="s">
        <v>104</v>
      </c>
      <c r="H15">
        <f t="shared" si="1"/>
        <v>45000</v>
      </c>
      <c r="I15">
        <f t="shared" si="2"/>
        <v>6</v>
      </c>
      <c r="J15">
        <f t="shared" si="3"/>
        <v>0</v>
      </c>
    </row>
    <row r="16" spans="1:10">
      <c r="A16" t="s">
        <v>65</v>
      </c>
      <c r="B16" t="s">
        <v>11</v>
      </c>
      <c r="C16" t="s">
        <v>103</v>
      </c>
      <c r="D16" s="19">
        <v>46082</v>
      </c>
      <c r="E16" s="23">
        <f t="shared" si="0"/>
        <v>46266</v>
      </c>
      <c r="F16" s="19" t="s">
        <v>109</v>
      </c>
      <c r="G16" s="24" t="s">
        <v>106</v>
      </c>
      <c r="H16">
        <f t="shared" si="1"/>
        <v>30000</v>
      </c>
      <c r="I16" t="str">
        <f t="shared" si="2"/>
        <v/>
      </c>
      <c r="J16">
        <f t="shared" si="3"/>
        <v>1</v>
      </c>
    </row>
    <row r="17" spans="1:10">
      <c r="A17" t="s">
        <v>66</v>
      </c>
      <c r="B17" t="s">
        <v>101</v>
      </c>
      <c r="C17" t="s">
        <v>13</v>
      </c>
      <c r="D17" s="20">
        <v>46113</v>
      </c>
      <c r="E17" s="23">
        <f t="shared" si="0"/>
        <v>46296</v>
      </c>
      <c r="F17" s="21">
        <f>E17</f>
        <v>46296</v>
      </c>
      <c r="G17" s="22" t="s">
        <v>104</v>
      </c>
      <c r="H17">
        <f t="shared" si="1"/>
        <v>45000</v>
      </c>
      <c r="I17">
        <f t="shared" si="2"/>
        <v>6</v>
      </c>
      <c r="J17">
        <f t="shared" si="3"/>
        <v>0</v>
      </c>
    </row>
    <row r="18" spans="1:10">
      <c r="A18" t="s">
        <v>67</v>
      </c>
      <c r="B18" t="s">
        <v>102</v>
      </c>
      <c r="C18" t="s">
        <v>103</v>
      </c>
      <c r="D18" s="19">
        <v>46143</v>
      </c>
      <c r="E18" s="23">
        <f t="shared" si="0"/>
        <v>46327</v>
      </c>
      <c r="F18" s="23">
        <v>45781</v>
      </c>
      <c r="G18" s="24" t="s">
        <v>106</v>
      </c>
      <c r="H18">
        <f t="shared" si="1"/>
        <v>30000</v>
      </c>
      <c r="I18" t="str">
        <f t="shared" si="2"/>
        <v/>
      </c>
      <c r="J18">
        <f t="shared" si="3"/>
        <v>1</v>
      </c>
    </row>
    <row r="19" spans="1:10">
      <c r="A19" t="s">
        <v>68</v>
      </c>
      <c r="B19" t="s">
        <v>11</v>
      </c>
      <c r="C19" t="s">
        <v>13</v>
      </c>
      <c r="D19" s="20">
        <v>46174</v>
      </c>
      <c r="E19" s="23">
        <f t="shared" si="0"/>
        <v>46357</v>
      </c>
      <c r="F19" s="19" t="s">
        <v>8</v>
      </c>
      <c r="G19" s="22" t="s">
        <v>105</v>
      </c>
      <c r="H19">
        <f t="shared" si="1"/>
        <v>45000</v>
      </c>
      <c r="I19" t="str">
        <f t="shared" si="2"/>
        <v/>
      </c>
      <c r="J19">
        <f t="shared" si="3"/>
        <v>0</v>
      </c>
    </row>
    <row r="20" spans="1:10">
      <c r="A20" t="s">
        <v>69</v>
      </c>
      <c r="B20" t="s">
        <v>101</v>
      </c>
      <c r="C20" t="s">
        <v>103</v>
      </c>
      <c r="D20" s="19">
        <v>46204</v>
      </c>
      <c r="E20" s="23">
        <f t="shared" si="0"/>
        <v>46388</v>
      </c>
      <c r="F20" s="19">
        <f>E20</f>
        <v>46388</v>
      </c>
      <c r="G20" s="22" t="s">
        <v>104</v>
      </c>
      <c r="H20">
        <f t="shared" si="1"/>
        <v>30000</v>
      </c>
      <c r="I20">
        <f t="shared" si="2"/>
        <v>6</v>
      </c>
      <c r="J20">
        <f t="shared" si="3"/>
        <v>0</v>
      </c>
    </row>
    <row r="21" spans="1:10">
      <c r="A21" t="s">
        <v>70</v>
      </c>
      <c r="B21" t="s">
        <v>102</v>
      </c>
      <c r="C21" t="s">
        <v>13</v>
      </c>
      <c r="D21" s="20">
        <v>46235</v>
      </c>
      <c r="E21" s="23">
        <f t="shared" si="0"/>
        <v>46419</v>
      </c>
      <c r="F21" s="19" t="s">
        <v>110</v>
      </c>
      <c r="G21" s="24" t="s">
        <v>106</v>
      </c>
      <c r="H21">
        <f t="shared" si="1"/>
        <v>45000</v>
      </c>
      <c r="I21" t="str">
        <f t="shared" si="2"/>
        <v/>
      </c>
      <c r="J21">
        <f t="shared" si="3"/>
        <v>1</v>
      </c>
    </row>
    <row r="22" spans="1:10">
      <c r="A22" t="s">
        <v>71</v>
      </c>
      <c r="B22" t="s">
        <v>11</v>
      </c>
      <c r="C22" t="s">
        <v>103</v>
      </c>
      <c r="D22" s="19">
        <v>46266</v>
      </c>
      <c r="E22" s="23">
        <f t="shared" si="0"/>
        <v>46447</v>
      </c>
      <c r="F22" s="21">
        <f>E22</f>
        <v>46447</v>
      </c>
      <c r="G22" s="22" t="s">
        <v>104</v>
      </c>
      <c r="H22">
        <f t="shared" si="1"/>
        <v>30000</v>
      </c>
      <c r="I22">
        <f t="shared" si="2"/>
        <v>6</v>
      </c>
      <c r="J22">
        <f t="shared" si="3"/>
        <v>0</v>
      </c>
    </row>
    <row r="23" spans="1:10">
      <c r="A23" t="s">
        <v>72</v>
      </c>
      <c r="B23" t="s">
        <v>101</v>
      </c>
      <c r="C23" t="s">
        <v>13</v>
      </c>
      <c r="D23" s="20">
        <v>46296</v>
      </c>
      <c r="E23" s="23">
        <f t="shared" si="0"/>
        <v>46478</v>
      </c>
      <c r="F23" s="23">
        <v>45782</v>
      </c>
      <c r="G23" s="24" t="s">
        <v>106</v>
      </c>
      <c r="H23">
        <f t="shared" si="1"/>
        <v>45000</v>
      </c>
      <c r="I23" t="str">
        <f t="shared" si="2"/>
        <v/>
      </c>
      <c r="J23">
        <f t="shared" si="3"/>
        <v>1</v>
      </c>
    </row>
    <row r="24" spans="1:10">
      <c r="A24" t="s">
        <v>73</v>
      </c>
      <c r="B24" t="s">
        <v>102</v>
      </c>
      <c r="C24" t="s">
        <v>103</v>
      </c>
      <c r="D24" s="19">
        <v>46327</v>
      </c>
      <c r="E24" s="23">
        <f t="shared" si="0"/>
        <v>46508</v>
      </c>
      <c r="F24" s="19" t="s">
        <v>8</v>
      </c>
      <c r="G24" s="22" t="s">
        <v>105</v>
      </c>
      <c r="H24">
        <f t="shared" si="1"/>
        <v>30000</v>
      </c>
      <c r="I24" t="str">
        <f t="shared" si="2"/>
        <v/>
      </c>
      <c r="J24">
        <f t="shared" si="3"/>
        <v>0</v>
      </c>
    </row>
    <row r="25" spans="1:10">
      <c r="A25" t="s">
        <v>74</v>
      </c>
      <c r="B25" t="s">
        <v>11</v>
      </c>
      <c r="C25" t="s">
        <v>13</v>
      </c>
      <c r="D25" s="20">
        <v>46357</v>
      </c>
      <c r="E25" s="23">
        <f t="shared" si="0"/>
        <v>46539</v>
      </c>
      <c r="F25" s="19">
        <f>E25</f>
        <v>46539</v>
      </c>
      <c r="G25" s="22" t="s">
        <v>104</v>
      </c>
      <c r="H25">
        <f t="shared" si="1"/>
        <v>45000</v>
      </c>
      <c r="I25">
        <f t="shared" si="2"/>
        <v>6</v>
      </c>
      <c r="J25">
        <f t="shared" si="3"/>
        <v>0</v>
      </c>
    </row>
    <row r="26" spans="1:10">
      <c r="A26" t="s">
        <v>75</v>
      </c>
      <c r="B26" t="s">
        <v>101</v>
      </c>
      <c r="C26" t="s">
        <v>103</v>
      </c>
      <c r="D26" s="19">
        <v>46388</v>
      </c>
      <c r="E26" s="23">
        <f t="shared" si="0"/>
        <v>46569</v>
      </c>
      <c r="F26" s="19" t="s">
        <v>111</v>
      </c>
      <c r="G26" s="24" t="s">
        <v>106</v>
      </c>
      <c r="H26">
        <f t="shared" si="1"/>
        <v>30000</v>
      </c>
      <c r="I26" t="str">
        <f t="shared" si="2"/>
        <v/>
      </c>
      <c r="J26">
        <f t="shared" si="3"/>
        <v>1</v>
      </c>
    </row>
    <row r="27" spans="1:10">
      <c r="A27" t="s">
        <v>76</v>
      </c>
      <c r="B27" t="s">
        <v>102</v>
      </c>
      <c r="C27" t="s">
        <v>13</v>
      </c>
      <c r="D27" s="20">
        <v>46419</v>
      </c>
      <c r="E27" s="23">
        <f t="shared" si="0"/>
        <v>46600</v>
      </c>
      <c r="F27" s="21">
        <f>E27</f>
        <v>46600</v>
      </c>
      <c r="G27" s="22" t="s">
        <v>104</v>
      </c>
      <c r="H27">
        <f t="shared" si="1"/>
        <v>45000</v>
      </c>
      <c r="I27">
        <f t="shared" si="2"/>
        <v>6</v>
      </c>
      <c r="J27">
        <f t="shared" si="3"/>
        <v>0</v>
      </c>
    </row>
    <row r="28" spans="1:10">
      <c r="A28" t="s">
        <v>77</v>
      </c>
      <c r="B28" t="s">
        <v>11</v>
      </c>
      <c r="C28" t="s">
        <v>103</v>
      </c>
      <c r="D28" s="19">
        <v>46447</v>
      </c>
      <c r="E28" s="23">
        <f t="shared" si="0"/>
        <v>46631</v>
      </c>
      <c r="F28" s="23">
        <v>45783</v>
      </c>
      <c r="G28" s="24" t="s">
        <v>106</v>
      </c>
      <c r="H28">
        <f t="shared" si="1"/>
        <v>30000</v>
      </c>
      <c r="I28" t="str">
        <f t="shared" si="2"/>
        <v/>
      </c>
      <c r="J28">
        <f t="shared" si="3"/>
        <v>1</v>
      </c>
    </row>
    <row r="29" spans="1:10">
      <c r="A29" t="s">
        <v>78</v>
      </c>
      <c r="B29" t="s">
        <v>101</v>
      </c>
      <c r="C29" t="s">
        <v>13</v>
      </c>
      <c r="D29" s="20">
        <v>46478</v>
      </c>
      <c r="E29" s="23">
        <f t="shared" si="0"/>
        <v>46661</v>
      </c>
      <c r="F29" s="19" t="s">
        <v>8</v>
      </c>
      <c r="G29" s="22" t="s">
        <v>105</v>
      </c>
      <c r="H29">
        <f t="shared" si="1"/>
        <v>45000</v>
      </c>
      <c r="I29" t="str">
        <f t="shared" si="2"/>
        <v/>
      </c>
      <c r="J29">
        <f t="shared" si="3"/>
        <v>0</v>
      </c>
    </row>
    <row r="30" spans="1:10">
      <c r="A30" t="s">
        <v>79</v>
      </c>
      <c r="B30" t="s">
        <v>102</v>
      </c>
      <c r="C30" t="s">
        <v>103</v>
      </c>
      <c r="D30" s="19">
        <v>46508</v>
      </c>
      <c r="E30" s="23">
        <f t="shared" si="0"/>
        <v>46692</v>
      </c>
      <c r="F30" s="19">
        <f>E30</f>
        <v>46692</v>
      </c>
      <c r="G30" s="22" t="s">
        <v>104</v>
      </c>
      <c r="H30">
        <f t="shared" si="1"/>
        <v>30000</v>
      </c>
      <c r="I30">
        <f t="shared" si="2"/>
        <v>6</v>
      </c>
      <c r="J30">
        <f t="shared" si="3"/>
        <v>0</v>
      </c>
    </row>
    <row r="31" spans="1:10">
      <c r="A31" t="s">
        <v>80</v>
      </c>
      <c r="B31" t="s">
        <v>11</v>
      </c>
      <c r="C31" t="s">
        <v>13</v>
      </c>
      <c r="D31" s="20">
        <v>46539</v>
      </c>
      <c r="E31" s="23">
        <f t="shared" si="0"/>
        <v>46722</v>
      </c>
      <c r="F31" s="19" t="s">
        <v>112</v>
      </c>
      <c r="G31" s="24" t="s">
        <v>106</v>
      </c>
      <c r="H31">
        <f t="shared" si="1"/>
        <v>45000</v>
      </c>
      <c r="I31" t="str">
        <f t="shared" si="2"/>
        <v/>
      </c>
      <c r="J31">
        <f t="shared" si="3"/>
        <v>1</v>
      </c>
    </row>
    <row r="32" spans="1:10">
      <c r="A32" t="s">
        <v>81</v>
      </c>
      <c r="B32" t="s">
        <v>101</v>
      </c>
      <c r="C32" t="s">
        <v>103</v>
      </c>
      <c r="D32" s="19">
        <v>46569</v>
      </c>
      <c r="E32" s="23">
        <f t="shared" si="0"/>
        <v>46753</v>
      </c>
      <c r="F32" s="21">
        <f>E32</f>
        <v>46753</v>
      </c>
      <c r="G32" s="22" t="s">
        <v>104</v>
      </c>
      <c r="H32">
        <f t="shared" si="1"/>
        <v>30000</v>
      </c>
      <c r="I32">
        <f t="shared" si="2"/>
        <v>6</v>
      </c>
      <c r="J32">
        <f t="shared" si="3"/>
        <v>0</v>
      </c>
    </row>
    <row r="33" spans="1:10">
      <c r="A33" t="s">
        <v>82</v>
      </c>
      <c r="B33" t="s">
        <v>102</v>
      </c>
      <c r="C33" t="s">
        <v>13</v>
      </c>
      <c r="D33" s="20">
        <v>46600</v>
      </c>
      <c r="E33" s="23">
        <f t="shared" si="0"/>
        <v>46784</v>
      </c>
      <c r="F33" s="23">
        <v>45784</v>
      </c>
      <c r="G33" s="24" t="s">
        <v>106</v>
      </c>
      <c r="H33">
        <f t="shared" si="1"/>
        <v>45000</v>
      </c>
      <c r="I33" t="str">
        <f t="shared" si="2"/>
        <v/>
      </c>
      <c r="J33">
        <f t="shared" si="3"/>
        <v>1</v>
      </c>
    </row>
    <row r="34" spans="1:10">
      <c r="A34" t="s">
        <v>83</v>
      </c>
      <c r="B34" t="s">
        <v>11</v>
      </c>
      <c r="C34" t="s">
        <v>103</v>
      </c>
      <c r="D34" s="19">
        <v>46631</v>
      </c>
      <c r="E34" s="23">
        <f t="shared" si="0"/>
        <v>46813</v>
      </c>
      <c r="F34" s="19" t="s">
        <v>8</v>
      </c>
      <c r="G34" s="22" t="s">
        <v>105</v>
      </c>
      <c r="H34">
        <f t="shared" si="1"/>
        <v>30000</v>
      </c>
      <c r="I34" t="str">
        <f t="shared" si="2"/>
        <v/>
      </c>
      <c r="J34">
        <f t="shared" si="3"/>
        <v>0</v>
      </c>
    </row>
    <row r="35" spans="1:10">
      <c r="A35" t="s">
        <v>84</v>
      </c>
      <c r="B35" t="s">
        <v>101</v>
      </c>
      <c r="C35" t="s">
        <v>13</v>
      </c>
      <c r="D35" s="20">
        <v>46661</v>
      </c>
      <c r="E35" s="23">
        <f t="shared" si="0"/>
        <v>46844</v>
      </c>
      <c r="F35" s="19">
        <f>E35</f>
        <v>46844</v>
      </c>
      <c r="G35" s="22" t="s">
        <v>104</v>
      </c>
      <c r="H35">
        <f t="shared" si="1"/>
        <v>45000</v>
      </c>
      <c r="I35">
        <f t="shared" si="2"/>
        <v>6</v>
      </c>
      <c r="J35">
        <f t="shared" si="3"/>
        <v>0</v>
      </c>
    </row>
    <row r="36" spans="1:10">
      <c r="A36" t="s">
        <v>85</v>
      </c>
      <c r="B36" t="s">
        <v>102</v>
      </c>
      <c r="C36" t="s">
        <v>103</v>
      </c>
      <c r="D36" s="19">
        <v>46692</v>
      </c>
      <c r="E36" s="23">
        <f t="shared" si="0"/>
        <v>46874</v>
      </c>
      <c r="F36" s="19" t="s">
        <v>113</v>
      </c>
      <c r="G36" s="24" t="s">
        <v>106</v>
      </c>
      <c r="H36">
        <f t="shared" si="1"/>
        <v>30000</v>
      </c>
      <c r="I36" t="str">
        <f t="shared" si="2"/>
        <v/>
      </c>
      <c r="J36">
        <f t="shared" si="3"/>
        <v>1</v>
      </c>
    </row>
    <row r="37" spans="1:10">
      <c r="A37" t="s">
        <v>86</v>
      </c>
      <c r="B37" t="s">
        <v>11</v>
      </c>
      <c r="C37" t="s">
        <v>13</v>
      </c>
      <c r="D37" s="20">
        <v>46722</v>
      </c>
      <c r="E37" s="23">
        <f t="shared" si="0"/>
        <v>46905</v>
      </c>
      <c r="F37" s="21">
        <f>E37</f>
        <v>46905</v>
      </c>
      <c r="G37" s="22" t="s">
        <v>104</v>
      </c>
      <c r="H37">
        <f t="shared" si="1"/>
        <v>45000</v>
      </c>
      <c r="I37">
        <f t="shared" si="2"/>
        <v>6</v>
      </c>
      <c r="J37">
        <f t="shared" si="3"/>
        <v>0</v>
      </c>
    </row>
    <row r="38" spans="1:10">
      <c r="A38" t="s">
        <v>87</v>
      </c>
      <c r="B38" t="s">
        <v>101</v>
      </c>
      <c r="C38" t="s">
        <v>103</v>
      </c>
      <c r="D38" s="19">
        <v>46753</v>
      </c>
      <c r="E38" s="23">
        <f t="shared" si="0"/>
        <v>46935</v>
      </c>
      <c r="F38" s="23">
        <v>45785</v>
      </c>
      <c r="G38" s="24" t="s">
        <v>106</v>
      </c>
      <c r="H38">
        <f t="shared" si="1"/>
        <v>30000</v>
      </c>
      <c r="I38" t="str">
        <f t="shared" si="2"/>
        <v/>
      </c>
      <c r="J38">
        <f t="shared" si="3"/>
        <v>1</v>
      </c>
    </row>
    <row r="39" spans="1:10">
      <c r="A39" t="s">
        <v>88</v>
      </c>
      <c r="B39" t="s">
        <v>102</v>
      </c>
      <c r="C39" t="s">
        <v>13</v>
      </c>
      <c r="D39" s="20">
        <v>46784</v>
      </c>
      <c r="E39" s="23">
        <f t="shared" si="0"/>
        <v>46966</v>
      </c>
      <c r="F39" s="19" t="s">
        <v>8</v>
      </c>
      <c r="G39" s="22" t="s">
        <v>105</v>
      </c>
      <c r="H39">
        <f t="shared" si="1"/>
        <v>45000</v>
      </c>
      <c r="I39" t="str">
        <f t="shared" si="2"/>
        <v/>
      </c>
      <c r="J39">
        <f t="shared" si="3"/>
        <v>0</v>
      </c>
    </row>
    <row r="40" spans="1:10">
      <c r="A40" t="s">
        <v>89</v>
      </c>
      <c r="B40" t="s">
        <v>11</v>
      </c>
      <c r="C40" t="s">
        <v>103</v>
      </c>
      <c r="D40" s="19">
        <v>46813</v>
      </c>
      <c r="E40" s="23">
        <f t="shared" si="0"/>
        <v>46997</v>
      </c>
      <c r="F40" s="19">
        <f>E40</f>
        <v>46997</v>
      </c>
      <c r="G40" s="22" t="s">
        <v>104</v>
      </c>
      <c r="H40">
        <f t="shared" si="1"/>
        <v>30000</v>
      </c>
      <c r="I40">
        <f t="shared" si="2"/>
        <v>6</v>
      </c>
      <c r="J40">
        <f t="shared" si="3"/>
        <v>0</v>
      </c>
    </row>
    <row r="41" spans="1:10">
      <c r="A41" t="s">
        <v>90</v>
      </c>
      <c r="B41" t="s">
        <v>101</v>
      </c>
      <c r="C41" t="s">
        <v>13</v>
      </c>
      <c r="D41" s="20">
        <v>46844</v>
      </c>
      <c r="E41" s="23">
        <f t="shared" si="0"/>
        <v>47027</v>
      </c>
      <c r="F41" s="19" t="s">
        <v>114</v>
      </c>
      <c r="G41" s="24" t="s">
        <v>106</v>
      </c>
      <c r="H41">
        <f t="shared" si="1"/>
        <v>45000</v>
      </c>
      <c r="I41" t="str">
        <f t="shared" si="2"/>
        <v/>
      </c>
      <c r="J41">
        <f t="shared" si="3"/>
        <v>1</v>
      </c>
    </row>
    <row r="42" spans="1:10">
      <c r="A42" t="s">
        <v>91</v>
      </c>
      <c r="B42" t="s">
        <v>102</v>
      </c>
      <c r="C42" t="s">
        <v>103</v>
      </c>
      <c r="D42" s="19">
        <v>46874</v>
      </c>
      <c r="E42" s="23">
        <f t="shared" si="0"/>
        <v>47058</v>
      </c>
      <c r="F42" s="21">
        <f>E42</f>
        <v>47058</v>
      </c>
      <c r="G42" s="22" t="s">
        <v>104</v>
      </c>
      <c r="H42">
        <f t="shared" si="1"/>
        <v>30000</v>
      </c>
      <c r="I42">
        <f t="shared" si="2"/>
        <v>6</v>
      </c>
      <c r="J42">
        <f t="shared" si="3"/>
        <v>0</v>
      </c>
    </row>
    <row r="43" spans="1:10">
      <c r="A43" t="s">
        <v>92</v>
      </c>
      <c r="B43" t="s">
        <v>11</v>
      </c>
      <c r="C43" t="s">
        <v>13</v>
      </c>
      <c r="D43" s="20">
        <v>46905</v>
      </c>
      <c r="E43" s="23">
        <f t="shared" si="0"/>
        <v>47088</v>
      </c>
      <c r="F43" s="23">
        <v>45786</v>
      </c>
      <c r="G43" s="24" t="s">
        <v>106</v>
      </c>
      <c r="H43">
        <f t="shared" si="1"/>
        <v>45000</v>
      </c>
      <c r="I43" t="str">
        <f t="shared" si="2"/>
        <v/>
      </c>
      <c r="J43">
        <f t="shared" si="3"/>
        <v>1</v>
      </c>
    </row>
    <row r="44" spans="1:10">
      <c r="A44" t="s">
        <v>93</v>
      </c>
      <c r="B44" t="s">
        <v>101</v>
      </c>
      <c r="C44" t="s">
        <v>103</v>
      </c>
      <c r="D44" s="19">
        <v>46935</v>
      </c>
      <c r="E44" s="23">
        <f t="shared" si="0"/>
        <v>47119</v>
      </c>
      <c r="F44" s="19" t="s">
        <v>8</v>
      </c>
      <c r="G44" s="22" t="s">
        <v>105</v>
      </c>
      <c r="H44">
        <f t="shared" si="1"/>
        <v>30000</v>
      </c>
      <c r="I44" t="str">
        <f t="shared" si="2"/>
        <v/>
      </c>
      <c r="J44">
        <f t="shared" si="3"/>
        <v>0</v>
      </c>
    </row>
    <row r="45" spans="1:10">
      <c r="A45" t="s">
        <v>94</v>
      </c>
      <c r="B45" t="s">
        <v>102</v>
      </c>
      <c r="C45" t="s">
        <v>13</v>
      </c>
      <c r="D45" s="20">
        <v>46966</v>
      </c>
      <c r="E45" s="23">
        <f t="shared" si="0"/>
        <v>47150</v>
      </c>
      <c r="F45" s="19">
        <f>E45</f>
        <v>47150</v>
      </c>
      <c r="G45" s="22" t="s">
        <v>104</v>
      </c>
      <c r="H45">
        <f t="shared" si="1"/>
        <v>45000</v>
      </c>
      <c r="I45">
        <f t="shared" si="2"/>
        <v>6</v>
      </c>
      <c r="J45">
        <f t="shared" si="3"/>
        <v>0</v>
      </c>
    </row>
    <row r="46" spans="1:10">
      <c r="A46" t="s">
        <v>95</v>
      </c>
      <c r="B46" t="s">
        <v>11</v>
      </c>
      <c r="C46" t="s">
        <v>103</v>
      </c>
      <c r="D46" s="19">
        <v>46997</v>
      </c>
      <c r="E46" s="23">
        <f t="shared" si="0"/>
        <v>47178</v>
      </c>
      <c r="F46" s="19" t="s">
        <v>115</v>
      </c>
      <c r="G46" s="24" t="s">
        <v>106</v>
      </c>
      <c r="H46">
        <f t="shared" si="1"/>
        <v>30000</v>
      </c>
      <c r="I46" t="str">
        <f t="shared" si="2"/>
        <v/>
      </c>
      <c r="J46">
        <f t="shared" si="3"/>
        <v>1</v>
      </c>
    </row>
    <row r="47" spans="1:10">
      <c r="A47" t="s">
        <v>96</v>
      </c>
      <c r="B47" t="s">
        <v>101</v>
      </c>
      <c r="C47" t="s">
        <v>13</v>
      </c>
      <c r="D47" s="20">
        <v>47027</v>
      </c>
      <c r="E47" s="23">
        <f t="shared" si="0"/>
        <v>47209</v>
      </c>
      <c r="F47" s="21">
        <f>E47</f>
        <v>47209</v>
      </c>
      <c r="G47" s="22" t="s">
        <v>104</v>
      </c>
      <c r="H47">
        <f t="shared" si="1"/>
        <v>45000</v>
      </c>
      <c r="I47">
        <f t="shared" si="2"/>
        <v>6</v>
      </c>
      <c r="J47">
        <f t="shared" si="3"/>
        <v>0</v>
      </c>
    </row>
    <row r="48" spans="1:10">
      <c r="A48" t="s">
        <v>97</v>
      </c>
      <c r="B48" t="s">
        <v>102</v>
      </c>
      <c r="C48" t="s">
        <v>103</v>
      </c>
      <c r="D48" s="19">
        <v>47058</v>
      </c>
      <c r="E48" s="23">
        <f t="shared" si="0"/>
        <v>47239</v>
      </c>
      <c r="F48" s="23">
        <v>45787</v>
      </c>
      <c r="G48" s="24" t="s">
        <v>106</v>
      </c>
      <c r="H48">
        <f t="shared" si="1"/>
        <v>30000</v>
      </c>
      <c r="I48" t="str">
        <f t="shared" si="2"/>
        <v/>
      </c>
      <c r="J48">
        <f t="shared" si="3"/>
        <v>1</v>
      </c>
    </row>
    <row r="49" spans="1:10">
      <c r="A49" t="s">
        <v>98</v>
      </c>
      <c r="B49" t="s">
        <v>11</v>
      </c>
      <c r="C49" t="s">
        <v>13</v>
      </c>
      <c r="D49" s="20">
        <v>47088</v>
      </c>
      <c r="E49" s="23">
        <f t="shared" si="0"/>
        <v>47270</v>
      </c>
      <c r="F49" s="19" t="s">
        <v>8</v>
      </c>
      <c r="G49" s="22" t="s">
        <v>105</v>
      </c>
      <c r="H49">
        <f t="shared" si="1"/>
        <v>45000</v>
      </c>
      <c r="I49" t="str">
        <f t="shared" si="2"/>
        <v/>
      </c>
      <c r="J49">
        <f t="shared" si="3"/>
        <v>0</v>
      </c>
    </row>
    <row r="50" spans="1:10">
      <c r="A50" t="s">
        <v>99</v>
      </c>
      <c r="B50" t="s">
        <v>101</v>
      </c>
      <c r="C50" t="s">
        <v>103</v>
      </c>
      <c r="D50" s="19">
        <v>47119</v>
      </c>
      <c r="E50" s="23">
        <f t="shared" si="0"/>
        <v>47300</v>
      </c>
      <c r="F50" s="19">
        <f>E50</f>
        <v>47300</v>
      </c>
      <c r="G50" s="22" t="s">
        <v>104</v>
      </c>
      <c r="H50">
        <f t="shared" si="1"/>
        <v>30000</v>
      </c>
      <c r="I50">
        <f t="shared" si="2"/>
        <v>6</v>
      </c>
      <c r="J50">
        <f t="shared" si="3"/>
        <v>0</v>
      </c>
    </row>
    <row r="51" spans="1:10">
      <c r="A51" t="s">
        <v>100</v>
      </c>
      <c r="B51" t="s">
        <v>102</v>
      </c>
      <c r="C51" t="s">
        <v>13</v>
      </c>
      <c r="D51" s="20">
        <v>47150</v>
      </c>
      <c r="E51" s="23">
        <f t="shared" si="0"/>
        <v>47331</v>
      </c>
      <c r="F51" s="19" t="s">
        <v>116</v>
      </c>
      <c r="G51" s="24" t="s">
        <v>106</v>
      </c>
      <c r="H51">
        <f t="shared" si="1"/>
        <v>45000</v>
      </c>
      <c r="I51" t="str">
        <f t="shared" si="2"/>
        <v/>
      </c>
      <c r="J51">
        <f t="shared" si="3"/>
        <v>1</v>
      </c>
    </row>
    <row r="52" spans="1:10">
      <c r="E52" s="23">
        <f t="shared" si="0"/>
        <v>182</v>
      </c>
      <c r="F52" s="21">
        <f>E52</f>
        <v>182</v>
      </c>
      <c r="G52" s="22" t="s">
        <v>104</v>
      </c>
      <c r="H52">
        <f t="shared" si="1"/>
        <v>45000</v>
      </c>
      <c r="I52">
        <f t="shared" si="2"/>
        <v>5</v>
      </c>
      <c r="J52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"/>
  <sheetViews>
    <sheetView zoomScale="70" zoomScaleNormal="70" workbookViewId="0">
      <selection activeCell="L18" sqref="L18"/>
    </sheetView>
  </sheetViews>
  <sheetFormatPr defaultRowHeight="15"/>
  <cols>
    <col min="2" max="2" width="36.7109375" customWidth="1"/>
    <col min="3" max="3" width="17.5703125" bestFit="1" customWidth="1"/>
    <col min="4" max="4" width="17.85546875" customWidth="1"/>
    <col min="5" max="5" width="32.140625" customWidth="1"/>
    <col min="6" max="6" width="23.85546875" customWidth="1"/>
    <col min="7" max="7" width="22.7109375" customWidth="1"/>
    <col min="8" max="8" width="36" customWidth="1"/>
    <col min="9" max="9" width="19" customWidth="1"/>
    <col min="10" max="10" width="17.5703125" bestFit="1" customWidth="1"/>
    <col min="12" max="12" width="44.7109375" customWidth="1"/>
    <col min="13" max="13" width="13.85546875" customWidth="1"/>
    <col min="14" max="14" width="33.85546875" customWidth="1"/>
  </cols>
  <sheetData>
    <row r="2" spans="2:14">
      <c r="B2" s="4" t="s">
        <v>119</v>
      </c>
      <c r="E2" s="4" t="s">
        <v>120</v>
      </c>
      <c r="H2" s="4" t="s">
        <v>121</v>
      </c>
      <c r="L2" s="4" t="s">
        <v>122</v>
      </c>
    </row>
    <row r="3" spans="2:14">
      <c r="B3">
        <f>COUNTA([1]Student_Retention_Data!A2:A51)</f>
        <v>50</v>
      </c>
      <c r="E3" s="29">
        <f>SUM(' Student_Retention_Data'!J2:J52)/COUNTA(' Student_Retention_Data'!A2:A51)</f>
        <v>0.4</v>
      </c>
      <c r="H3" s="29">
        <f>1-G6</f>
        <v>1</v>
      </c>
      <c r="L3">
        <f>AVERAGE(' Student_Retention_Data'!I2:I52)</f>
        <v>5.6956521739130439</v>
      </c>
    </row>
    <row r="4" spans="2:14" ht="18" customHeight="1"/>
    <row r="5" spans="2:14">
      <c r="B5" s="7" t="s">
        <v>17</v>
      </c>
      <c r="C5" t="s">
        <v>123</v>
      </c>
      <c r="E5" s="7" t="s">
        <v>17</v>
      </c>
      <c r="F5" t="s">
        <v>123</v>
      </c>
      <c r="H5" s="7" t="s">
        <v>17</v>
      </c>
      <c r="I5" t="s">
        <v>125</v>
      </c>
      <c r="J5" t="s">
        <v>123</v>
      </c>
    </row>
    <row r="6" spans="2:14">
      <c r="B6" s="8" t="s">
        <v>103</v>
      </c>
      <c r="C6" s="9">
        <v>10</v>
      </c>
      <c r="E6" s="8" t="s">
        <v>101</v>
      </c>
      <c r="F6" s="9">
        <v>6</v>
      </c>
      <c r="H6" s="8" t="s">
        <v>105</v>
      </c>
      <c r="I6" s="9">
        <v>10</v>
      </c>
      <c r="J6" s="9">
        <v>0</v>
      </c>
      <c r="M6" s="7" t="s">
        <v>17</v>
      </c>
      <c r="N6" t="s">
        <v>124</v>
      </c>
    </row>
    <row r="7" spans="2:14">
      <c r="B7" s="8" t="s">
        <v>13</v>
      </c>
      <c r="C7" s="9">
        <v>10</v>
      </c>
      <c r="E7" s="8" t="s">
        <v>11</v>
      </c>
      <c r="F7" s="9">
        <v>6</v>
      </c>
      <c r="H7" s="8" t="s">
        <v>104</v>
      </c>
      <c r="I7" s="9">
        <v>20</v>
      </c>
      <c r="J7" s="9">
        <v>0</v>
      </c>
      <c r="M7" s="8" t="s">
        <v>103</v>
      </c>
      <c r="N7" s="9">
        <v>6</v>
      </c>
    </row>
    <row r="8" spans="2:14">
      <c r="B8" s="8" t="s">
        <v>19</v>
      </c>
      <c r="C8" s="9">
        <v>20</v>
      </c>
      <c r="E8" s="8" t="s">
        <v>102</v>
      </c>
      <c r="F8" s="9">
        <v>8</v>
      </c>
      <c r="H8" s="8" t="s">
        <v>106</v>
      </c>
      <c r="I8" s="9">
        <v>20</v>
      </c>
      <c r="J8" s="9">
        <v>20</v>
      </c>
      <c r="M8" s="8" t="s">
        <v>13</v>
      </c>
      <c r="N8" s="9">
        <v>5.5</v>
      </c>
    </row>
    <row r="9" spans="2:14">
      <c r="E9" s="8" t="s">
        <v>19</v>
      </c>
      <c r="F9" s="9">
        <v>20</v>
      </c>
      <c r="H9" s="8" t="s">
        <v>19</v>
      </c>
      <c r="I9" s="9">
        <v>50</v>
      </c>
      <c r="J9" s="9">
        <v>20</v>
      </c>
      <c r="M9" s="8" t="s">
        <v>19</v>
      </c>
      <c r="N9" s="9">
        <v>5.7272727272727275</v>
      </c>
    </row>
    <row r="26" spans="2:7" ht="18.75">
      <c r="B26" s="26" t="s">
        <v>38</v>
      </c>
      <c r="G26" s="26" t="s">
        <v>42</v>
      </c>
    </row>
    <row r="27" spans="2:7" ht="18.75">
      <c r="B27" s="27" t="s">
        <v>126</v>
      </c>
      <c r="G27" s="27" t="s">
        <v>129</v>
      </c>
    </row>
    <row r="28" spans="2:7" ht="18.75">
      <c r="B28" s="27" t="s">
        <v>127</v>
      </c>
      <c r="G28" s="27" t="s">
        <v>130</v>
      </c>
    </row>
    <row r="29" spans="2:7" ht="18.75">
      <c r="B29" s="27" t="s">
        <v>128</v>
      </c>
      <c r="G29" s="27" t="s">
        <v>131</v>
      </c>
    </row>
    <row r="30" spans="2:7" ht="18.75">
      <c r="B30" s="6"/>
    </row>
  </sheetData>
  <pageMargins left="0.7" right="0.7" top="0.75" bottom="0.75" header="0.3" footer="0.3"/>
  <pageSetup orientation="portrait" horizontalDpi="0" verticalDpi="0" r:id="rId5"/>
  <drawing r:id="rId6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C11" sqref="C11"/>
    </sheetView>
  </sheetViews>
  <sheetFormatPr defaultRowHeight="15"/>
  <cols>
    <col min="1" max="1" width="13.42578125" customWidth="1"/>
    <col min="2" max="2" width="12" customWidth="1"/>
    <col min="3" max="3" width="12.140625" customWidth="1"/>
    <col min="4" max="4" width="12.42578125" customWidth="1"/>
    <col min="5" max="5" width="18.42578125" customWidth="1"/>
    <col min="6" max="6" width="15.140625" customWidth="1"/>
    <col min="7" max="7" width="18.5703125" customWidth="1"/>
    <col min="8" max="8" width="20.28515625" customWidth="1"/>
    <col min="9" max="9" width="27.5703125" customWidth="1"/>
    <col min="10" max="10" width="22.5703125" customWidth="1"/>
    <col min="11" max="13" width="11.7109375" customWidth="1"/>
  </cols>
  <sheetData>
    <row r="1" spans="1:13" s="33" customFormat="1" ht="15.75">
      <c r="A1" s="33" t="s">
        <v>1</v>
      </c>
      <c r="B1" s="33" t="s">
        <v>132</v>
      </c>
      <c r="C1" s="33" t="s">
        <v>133</v>
      </c>
      <c r="D1" s="33" t="s">
        <v>134</v>
      </c>
      <c r="E1" s="33" t="s">
        <v>135</v>
      </c>
      <c r="F1" s="33" t="s">
        <v>136</v>
      </c>
      <c r="G1" s="33" t="s">
        <v>137</v>
      </c>
      <c r="H1" s="33" t="s">
        <v>142</v>
      </c>
      <c r="I1" s="33" t="s">
        <v>143</v>
      </c>
      <c r="J1" s="33" t="s">
        <v>144</v>
      </c>
      <c r="K1" s="33" t="s">
        <v>149</v>
      </c>
      <c r="L1" s="33" t="s">
        <v>150</v>
      </c>
      <c r="M1" s="33" t="s">
        <v>151</v>
      </c>
    </row>
    <row r="2" spans="1:13">
      <c r="A2" s="28" t="s">
        <v>138</v>
      </c>
      <c r="B2" s="28" t="s">
        <v>139</v>
      </c>
      <c r="C2" s="28">
        <v>1200</v>
      </c>
      <c r="D2" s="28">
        <v>180</v>
      </c>
      <c r="E2" s="28">
        <v>90</v>
      </c>
      <c r="F2" s="28">
        <v>45</v>
      </c>
      <c r="G2" s="28">
        <v>30000</v>
      </c>
      <c r="H2" s="29">
        <f>D2/C2</f>
        <v>0.15</v>
      </c>
      <c r="I2" s="29">
        <f>F2/D2</f>
        <v>0.25</v>
      </c>
      <c r="J2" s="29">
        <f>G2/F2</f>
        <v>666.66666666666663</v>
      </c>
    </row>
    <row r="3" spans="1:13" ht="30">
      <c r="A3" s="28" t="s">
        <v>138</v>
      </c>
      <c r="B3" s="28" t="s">
        <v>140</v>
      </c>
      <c r="C3" s="28">
        <v>900</v>
      </c>
      <c r="D3" s="28">
        <v>150</v>
      </c>
      <c r="E3" s="28">
        <v>80</v>
      </c>
      <c r="F3" s="28">
        <v>40</v>
      </c>
      <c r="G3" s="28">
        <v>25000</v>
      </c>
      <c r="H3" s="29">
        <f t="shared" ref="H3:H5" si="0">D3/C3</f>
        <v>0.16666666666666666</v>
      </c>
      <c r="I3" s="29">
        <f t="shared" ref="I3:I5" si="1">F3/D3</f>
        <v>0.26666666666666666</v>
      </c>
      <c r="J3" s="29">
        <f t="shared" ref="J3:J5" si="2">G3/F3</f>
        <v>625</v>
      </c>
    </row>
    <row r="4" spans="1:13" ht="30">
      <c r="A4" s="28" t="s">
        <v>102</v>
      </c>
      <c r="B4" s="28" t="s">
        <v>139</v>
      </c>
      <c r="C4" s="28">
        <v>700</v>
      </c>
      <c r="D4" s="28">
        <v>90</v>
      </c>
      <c r="E4" s="28">
        <v>40</v>
      </c>
      <c r="F4" s="28">
        <v>18</v>
      </c>
      <c r="G4" s="28">
        <v>15000</v>
      </c>
      <c r="H4" s="29">
        <f t="shared" si="0"/>
        <v>0.12857142857142856</v>
      </c>
      <c r="I4" s="29">
        <f t="shared" si="1"/>
        <v>0.2</v>
      </c>
      <c r="J4" s="29">
        <f t="shared" si="2"/>
        <v>833.33333333333337</v>
      </c>
    </row>
    <row r="5" spans="1:13">
      <c r="A5" s="28" t="s">
        <v>102</v>
      </c>
      <c r="B5" s="28" t="s">
        <v>141</v>
      </c>
      <c r="C5" s="28">
        <v>400</v>
      </c>
      <c r="D5" s="28">
        <v>120</v>
      </c>
      <c r="E5" s="28">
        <v>100</v>
      </c>
      <c r="F5" s="28">
        <v>60</v>
      </c>
      <c r="G5" s="28">
        <v>10000</v>
      </c>
      <c r="H5" s="29">
        <f t="shared" si="0"/>
        <v>0.3</v>
      </c>
      <c r="I5" s="29">
        <f t="shared" si="1"/>
        <v>0.5</v>
      </c>
      <c r="J5" s="29">
        <f t="shared" si="2"/>
        <v>166.66666666666666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sqref="A1:J5"/>
    </sheetView>
  </sheetViews>
  <sheetFormatPr defaultRowHeight="15"/>
  <cols>
    <col min="2" max="2" width="10.42578125" customWidth="1"/>
    <col min="3" max="3" width="9.85546875" customWidth="1"/>
    <col min="4" max="4" width="11.42578125" customWidth="1"/>
    <col min="5" max="5" width="14.42578125" customWidth="1"/>
    <col min="6" max="6" width="13.85546875" customWidth="1"/>
    <col min="7" max="7" width="17" customWidth="1"/>
    <col min="8" max="8" width="18.7109375" customWidth="1"/>
    <col min="9" max="9" width="25" customWidth="1"/>
    <col min="10" max="10" width="20.7109375" customWidth="1"/>
  </cols>
  <sheetData>
    <row r="1" spans="1:10">
      <c r="A1" t="s">
        <v>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142</v>
      </c>
      <c r="I1" t="s">
        <v>143</v>
      </c>
      <c r="J1" t="s">
        <v>144</v>
      </c>
    </row>
    <row r="2" spans="1:10">
      <c r="A2" t="s">
        <v>138</v>
      </c>
      <c r="B2" t="s">
        <v>139</v>
      </c>
      <c r="C2">
        <v>1200</v>
      </c>
      <c r="D2">
        <v>180</v>
      </c>
      <c r="E2">
        <v>90</v>
      </c>
      <c r="F2">
        <v>45</v>
      </c>
      <c r="G2">
        <v>30000</v>
      </c>
      <c r="H2">
        <v>0.15</v>
      </c>
      <c r="I2">
        <v>0.25</v>
      </c>
      <c r="J2">
        <v>666.66666666666663</v>
      </c>
    </row>
    <row r="3" spans="1:10">
      <c r="A3" t="s">
        <v>138</v>
      </c>
      <c r="B3" t="s">
        <v>140</v>
      </c>
      <c r="C3">
        <v>900</v>
      </c>
      <c r="D3">
        <v>150</v>
      </c>
      <c r="E3">
        <v>80</v>
      </c>
      <c r="F3">
        <v>40</v>
      </c>
      <c r="G3">
        <v>25000</v>
      </c>
      <c r="H3">
        <v>0.16666666666666666</v>
      </c>
      <c r="I3">
        <v>0.26666666666666666</v>
      </c>
      <c r="J3">
        <v>625</v>
      </c>
    </row>
    <row r="4" spans="1:10">
      <c r="A4" t="s">
        <v>102</v>
      </c>
      <c r="B4" t="s">
        <v>139</v>
      </c>
      <c r="C4">
        <v>700</v>
      </c>
      <c r="D4">
        <v>90</v>
      </c>
      <c r="E4">
        <v>40</v>
      </c>
      <c r="F4">
        <v>18</v>
      </c>
      <c r="G4">
        <v>15000</v>
      </c>
      <c r="H4">
        <v>0.12857142857142856</v>
      </c>
      <c r="I4">
        <v>0.2</v>
      </c>
      <c r="J4">
        <v>833.33333333333337</v>
      </c>
    </row>
    <row r="5" spans="1:10">
      <c r="A5" t="s">
        <v>102</v>
      </c>
      <c r="B5" t="s">
        <v>141</v>
      </c>
      <c r="C5">
        <v>400</v>
      </c>
      <c r="D5">
        <v>120</v>
      </c>
      <c r="E5">
        <v>100</v>
      </c>
      <c r="F5">
        <v>60</v>
      </c>
      <c r="G5">
        <v>10000</v>
      </c>
      <c r="H5">
        <v>0.3</v>
      </c>
      <c r="I5">
        <v>0.5</v>
      </c>
      <c r="J5">
        <v>166.66666666666666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D6" sqref="D6"/>
    </sheetView>
  </sheetViews>
  <sheetFormatPr defaultRowHeight="15"/>
  <cols>
    <col min="1" max="1" width="16.28515625" customWidth="1"/>
    <col min="2" max="2" width="18.5703125" bestFit="1" customWidth="1"/>
    <col min="3" max="3" width="14.42578125" customWidth="1"/>
    <col min="4" max="4" width="18.5703125" customWidth="1"/>
    <col min="5" max="5" width="25.85546875" customWidth="1"/>
    <col min="6" max="6" width="22.140625" bestFit="1" customWidth="1"/>
    <col min="7" max="7" width="21.5703125" customWidth="1"/>
    <col min="8" max="8" width="21.28515625" customWidth="1"/>
  </cols>
  <sheetData>
    <row r="1" spans="1:7" s="34" customFormat="1" ht="15.75">
      <c r="A1" s="34" t="s">
        <v>145</v>
      </c>
      <c r="D1" s="34" t="s">
        <v>8</v>
      </c>
      <c r="E1" s="34" t="s">
        <v>146</v>
      </c>
    </row>
    <row r="2" spans="1:7">
      <c r="A2">
        <v>163</v>
      </c>
      <c r="E2">
        <v>40.75</v>
      </c>
    </row>
    <row r="3" spans="1:7">
      <c r="A3" s="29"/>
      <c r="D3" s="30" t="s">
        <v>8</v>
      </c>
      <c r="E3" s="30"/>
      <c r="G3" s="31" t="s">
        <v>8</v>
      </c>
    </row>
    <row r="4" spans="1:7">
      <c r="D4" s="32" t="s">
        <v>8</v>
      </c>
      <c r="E4" s="32"/>
    </row>
    <row r="6" spans="1:7">
      <c r="A6" s="7" t="s">
        <v>17</v>
      </c>
      <c r="B6" t="s">
        <v>147</v>
      </c>
      <c r="D6" s="7" t="s">
        <v>17</v>
      </c>
      <c r="E6" t="s">
        <v>148</v>
      </c>
    </row>
    <row r="7" spans="1:7">
      <c r="A7" s="8" t="s">
        <v>139</v>
      </c>
      <c r="B7" s="9">
        <v>63</v>
      </c>
      <c r="D7" s="8" t="s">
        <v>139</v>
      </c>
      <c r="E7" s="9">
        <v>31.5</v>
      </c>
    </row>
    <row r="8" spans="1:7">
      <c r="A8" s="8" t="s">
        <v>141</v>
      </c>
      <c r="B8" s="9">
        <v>60</v>
      </c>
      <c r="D8" s="8" t="s">
        <v>141</v>
      </c>
      <c r="E8" s="9">
        <v>60</v>
      </c>
    </row>
    <row r="9" spans="1:7">
      <c r="A9" s="8" t="s">
        <v>140</v>
      </c>
      <c r="B9" s="9">
        <v>40</v>
      </c>
      <c r="D9" s="8" t="s">
        <v>140</v>
      </c>
      <c r="E9" s="9">
        <v>40</v>
      </c>
    </row>
    <row r="10" spans="1:7">
      <c r="A10" s="8" t="s">
        <v>19</v>
      </c>
      <c r="B10" s="9">
        <v>163</v>
      </c>
      <c r="D10" s="8" t="s">
        <v>19</v>
      </c>
      <c r="E10" s="9">
        <v>40.75</v>
      </c>
    </row>
    <row r="24" spans="31:32">
      <c r="AE24" t="s">
        <v>147</v>
      </c>
      <c r="AF24" t="s">
        <v>8</v>
      </c>
    </row>
    <row r="25" spans="31:32">
      <c r="AE25" s="9">
        <v>163</v>
      </c>
      <c r="AF25" s="9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Sales_Data</vt:lpstr>
      <vt:lpstr> Sales_Dashboard</vt:lpstr>
      <vt:lpstr> Student_Retention_Data</vt:lpstr>
      <vt:lpstr> Retention_Dashboard</vt:lpstr>
      <vt:lpstr> Marketing_Funnel_Data</vt:lpstr>
      <vt:lpstr>Sheet1</vt:lpstr>
      <vt:lpstr> Funnel_Dashboard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2026-01-28T06:13:52Z</dcterms:created>
  <dcterms:modified xsi:type="dcterms:W3CDTF">2026-01-29T05:51:51Z</dcterms:modified>
</cp:coreProperties>
</file>